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2" sheetId="1" r:id="rId4"/>
    <sheet state="visible" name="PO-PSO Mapping" sheetId="2" r:id="rId5"/>
    <sheet state="visible" name="INTERNSHIP DETAILS" sheetId="3" r:id="rId6"/>
    <sheet state="hidden" name="Sheet3" sheetId="4" r:id="rId7"/>
    <sheet state="hidden" name="21AIL66" sheetId="5" r:id="rId8"/>
    <sheet state="visible" name="Sheet1" sheetId="6" r:id="rId9"/>
  </sheets>
  <definedNames/>
  <calcPr/>
  <extLst>
    <ext uri="GoogleSheetsCustomDataVersion2">
      <go:sheetsCustomData xmlns:go="http://customooxmlschemas.google.com/" r:id="rId10" roundtripDataChecksum="SRIkoxuaD5sFhRTBcXtoMU/74XP2wg8fuMa4Kte9dNU="/>
    </ext>
  </extLst>
</workbook>
</file>

<file path=xl/sharedStrings.xml><?xml version="1.0" encoding="utf-8"?>
<sst xmlns="http://schemas.openxmlformats.org/spreadsheetml/2006/main" count="1199" uniqueCount="340">
  <si>
    <t>Sl.
No</t>
  </si>
  <si>
    <t>USN</t>
  </si>
  <si>
    <t>Student Name</t>
  </si>
  <si>
    <t>CIA 1</t>
  </si>
  <si>
    <t>CIA 1 [30]</t>
  </si>
  <si>
    <t>ROUND UP</t>
  </si>
  <si>
    <t>CIA 2</t>
  </si>
  <si>
    <t>CIA 2 [30]</t>
  </si>
  <si>
    <t>CIA 3</t>
  </si>
  <si>
    <t>CIA 3 [30]</t>
  </si>
  <si>
    <t>AVG[50]</t>
  </si>
  <si>
    <t>AVG [30]</t>
  </si>
  <si>
    <t>AAT</t>
  </si>
  <si>
    <t>QUIZ</t>
  </si>
  <si>
    <t xml:space="preserve">TOTAL </t>
  </si>
  <si>
    <t>MAX MARKS</t>
  </si>
  <si>
    <t>1DS21AI001</t>
  </si>
  <si>
    <t>Adithya N Awati</t>
  </si>
  <si>
    <t>1DS21AI002</t>
  </si>
  <si>
    <t>Amit A</t>
  </si>
  <si>
    <t>1DS21AI003</t>
  </si>
  <si>
    <t>Anirudh Vishwas Hegde</t>
  </si>
  <si>
    <t>1DS21AI004</t>
  </si>
  <si>
    <t>Ankan Bhatt</t>
  </si>
  <si>
    <t>1DS21AI005</t>
  </si>
  <si>
    <t>Ankush G</t>
  </si>
  <si>
    <t>1DS21AI006</t>
  </si>
  <si>
    <t>Aryaman Saxena</t>
  </si>
  <si>
    <t>1DS21AI007</t>
  </si>
  <si>
    <t>Ashwin Sai G</t>
  </si>
  <si>
    <t>1DS21AI008</t>
  </si>
  <si>
    <t>B J Phanindra Babu</t>
  </si>
  <si>
    <t>1DS21AI009</t>
  </si>
  <si>
    <t>Bhargavi K</t>
  </si>
  <si>
    <t>1DS21AI010</t>
  </si>
  <si>
    <t>Bhuvan Kumar M</t>
  </si>
  <si>
    <t>1DS21AI011</t>
  </si>
  <si>
    <t>Chandru</t>
  </si>
  <si>
    <t>1DS21AI012</t>
  </si>
  <si>
    <t>Charan Gowda B M</t>
  </si>
  <si>
    <t>1DS21AI013</t>
  </si>
  <si>
    <t>Daniyal Ekram</t>
  </si>
  <si>
    <t>1DS21AI014</t>
  </si>
  <si>
    <t>Darshan R</t>
  </si>
  <si>
    <t>1DS21AI015</t>
  </si>
  <si>
    <t>Dharshan R Kumar</t>
  </si>
  <si>
    <t>1DS21AI016</t>
  </si>
  <si>
    <t>Ebudi Harshith</t>
  </si>
  <si>
    <t>1DS21AI017</t>
  </si>
  <si>
    <t>Fatima Anees Mulla</t>
  </si>
  <si>
    <t>1DS21AI018</t>
  </si>
  <si>
    <t>Gurudarshan L</t>
  </si>
  <si>
    <t>1DS21AI019</t>
  </si>
  <si>
    <t>Harikrishna M</t>
  </si>
  <si>
    <t>1DS21AI020</t>
  </si>
  <si>
    <t>Harshitha B</t>
  </si>
  <si>
    <t>1DS21AI021</t>
  </si>
  <si>
    <t>Harshitha S</t>
  </si>
  <si>
    <t>1DS21AI022</t>
  </si>
  <si>
    <t>Hemanth Gowda V</t>
  </si>
  <si>
    <t>1DS21AI023</t>
  </si>
  <si>
    <t>Hitha N</t>
  </si>
  <si>
    <t>1DS21AI024</t>
  </si>
  <si>
    <t>Jeevan T R</t>
  </si>
  <si>
    <t>1DS21AI025</t>
  </si>
  <si>
    <t>Jyoti Shmati</t>
  </si>
  <si>
    <t>1DS21AI026</t>
  </si>
  <si>
    <t>Kaashif Meraj</t>
  </si>
  <si>
    <t>1DS21AI027</t>
  </si>
  <si>
    <t>Kotireddy Charan Simha Reddy</t>
  </si>
  <si>
    <t>1DS21AI028</t>
  </si>
  <si>
    <t>Krutika R Sinnur</t>
  </si>
  <si>
    <t>1DS21AI029</t>
  </si>
  <si>
    <t>Kush Chauhan</t>
  </si>
  <si>
    <t>1DS21AI030</t>
  </si>
  <si>
    <t>Manas Kalra</t>
  </si>
  <si>
    <t>1DS21AI031</t>
  </si>
  <si>
    <t>Manasvini T</t>
  </si>
  <si>
    <t>1DS21AI032</t>
  </si>
  <si>
    <t>Meshank Bansal</t>
  </si>
  <si>
    <t>1DS21AI033</t>
  </si>
  <si>
    <t>Mithun Keshavalu Reddy K</t>
  </si>
  <si>
    <t>1DS21AI034</t>
  </si>
  <si>
    <t>Monica K C</t>
  </si>
  <si>
    <t>1DS21AI035</t>
  </si>
  <si>
    <t>Nanditha K G</t>
  </si>
  <si>
    <t>1DS21AI036</t>
  </si>
  <si>
    <t>Niharika Rajendra Ankalkoti</t>
  </si>
  <si>
    <t>1DS21AI037</t>
  </si>
  <si>
    <t>Nisarga B</t>
  </si>
  <si>
    <t>1DS21AI038</t>
  </si>
  <si>
    <t>Prajwal K</t>
  </si>
  <si>
    <t>1DS21AI039</t>
  </si>
  <si>
    <t>Prakriti Singh</t>
  </si>
  <si>
    <t>1DS21AI040</t>
  </si>
  <si>
    <t>Prerana S B</t>
  </si>
  <si>
    <t>1DS21AI041</t>
  </si>
  <si>
    <t>Radhika Mittal</t>
  </si>
  <si>
    <t>1DS21AI042</t>
  </si>
  <si>
    <t>Rijutha A</t>
  </si>
  <si>
    <t>1DS21AI043</t>
  </si>
  <si>
    <t>Rohan D</t>
  </si>
  <si>
    <t>1DS21AI044</t>
  </si>
  <si>
    <t>S Uday Kumar</t>
  </si>
  <si>
    <t>1DS21AI045</t>
  </si>
  <si>
    <t>Sha Aarize Siddique</t>
  </si>
  <si>
    <t>1DS21AI046</t>
  </si>
  <si>
    <t>Shivabasavamatur</t>
  </si>
  <si>
    <t>1DS21AI047</t>
  </si>
  <si>
    <t>Shreesha S</t>
  </si>
  <si>
    <t>1DS21AI048</t>
  </si>
  <si>
    <t>Shreyas M J Kalkur</t>
  </si>
  <si>
    <t>1DS21AI049</t>
  </si>
  <si>
    <t>Shubham Mishra</t>
  </si>
  <si>
    <t>1DS21AI050</t>
  </si>
  <si>
    <t>Sk Sai Tarun</t>
  </si>
  <si>
    <t>1DS21AI051</t>
  </si>
  <si>
    <t>Suhas Kashayap M S</t>
  </si>
  <si>
    <t>1DS21AI052</t>
  </si>
  <si>
    <t>Suprith A S</t>
  </si>
  <si>
    <t>1DS21AI053</t>
  </si>
  <si>
    <t>Udayasurya S</t>
  </si>
  <si>
    <t>1DS21AI054</t>
  </si>
  <si>
    <t>Velpula Jaswanth Reddy</t>
  </si>
  <si>
    <t>1DS21AI055</t>
  </si>
  <si>
    <t>Vidya V</t>
  </si>
  <si>
    <t>1DS21AI056</t>
  </si>
  <si>
    <t>Yarasingu Shanmukha Priya</t>
  </si>
  <si>
    <t>1DS21AI057</t>
  </si>
  <si>
    <t>Yash Govil</t>
  </si>
  <si>
    <t>1DS21AI058</t>
  </si>
  <si>
    <t>Yashas A M</t>
  </si>
  <si>
    <t>1DS21AI059</t>
  </si>
  <si>
    <t>Yashvardhan Malik</t>
  </si>
  <si>
    <t>1DS22AI400</t>
  </si>
  <si>
    <t>AKSHATA PUJAR</t>
  </si>
  <si>
    <t>1DS22AI401</t>
  </si>
  <si>
    <t>MEGHANA M D</t>
  </si>
  <si>
    <t>1DS22AI402</t>
  </si>
  <si>
    <t>MOHAMMED ABRAR</t>
  </si>
  <si>
    <t>1DS22AI403</t>
  </si>
  <si>
    <t>RATAN M SHIDNELEOPPA</t>
  </si>
  <si>
    <t>1DS22AI404</t>
  </si>
  <si>
    <t xml:space="preserve">GAGAN S B </t>
  </si>
  <si>
    <t>1DS22AI405</t>
  </si>
  <si>
    <t>SHAIK SUHANA</t>
  </si>
  <si>
    <t>1DS22AI406</t>
  </si>
  <si>
    <t xml:space="preserve">SHASHANK L S </t>
  </si>
  <si>
    <t>1DS22AI407</t>
  </si>
  <si>
    <t xml:space="preserve">SUJITH S </t>
  </si>
  <si>
    <t xml:space="preserve">   DAYANANDA SAGAR COLLEGE OF ENGINEERING </t>
  </si>
  <si>
    <t xml:space="preserve">    Department of Artificial Intelligence and Machine Learning</t>
  </si>
  <si>
    <t xml:space="preserve">    Research Internship/ Industry Internship VIII Semester Internship Details 2024-25</t>
  </si>
  <si>
    <t>COMPANY NAME</t>
  </si>
  <si>
    <t xml:space="preserve">DURATION </t>
  </si>
  <si>
    <t>STIPEND YES /NO</t>
  </si>
  <si>
    <t>Relevant POs</t>
  </si>
  <si>
    <t>Relevant PSOs</t>
  </si>
  <si>
    <t>Harman International</t>
  </si>
  <si>
    <t>03-02-2025 TO 03-08-2025</t>
  </si>
  <si>
    <t>PO1, PO2, PO3, PO5, PO9, PO12</t>
  </si>
  <si>
    <t>PSO1, PSO2</t>
  </si>
  <si>
    <t>AT&amp;T</t>
  </si>
  <si>
    <t>07-01-2025 TO 07-06-2025</t>
  </si>
  <si>
    <t>PO1, PO2, PO3, PO4, PO5, PO9, PO10, PO12</t>
  </si>
  <si>
    <t>PSO1, PSO2, PSO3</t>
  </si>
  <si>
    <t xml:space="preserve">Entertainment technologies </t>
  </si>
  <si>
    <t>01-02-2025 TO 15-05-2025</t>
  </si>
  <si>
    <t>-</t>
  </si>
  <si>
    <t>INTERNZ LEARN</t>
  </si>
  <si>
    <t>29-01-2025 TO 29-06-2025</t>
  </si>
  <si>
    <t>PO2, PO3, PO9, PO10, PO12</t>
  </si>
  <si>
    <t>PSO1</t>
  </si>
  <si>
    <t>KINAXIS</t>
  </si>
  <si>
    <t>20-01-2025 TO 21-07-2025</t>
  </si>
  <si>
    <t>Mehrotra Biotech</t>
  </si>
  <si>
    <t>04-03-2025 TO 04-07-2025</t>
  </si>
  <si>
    <t>PO1, PO2, PO4, PO5, PO12</t>
  </si>
  <si>
    <t>PSO2</t>
  </si>
  <si>
    <t>V2SOFT</t>
  </si>
  <si>
    <t>03-03-2025 TO 30-06-2025</t>
  </si>
  <si>
    <t>PO1, PO2, PO3, PO5, PO12</t>
  </si>
  <si>
    <t>PSO1, PSO3</t>
  </si>
  <si>
    <t>ZEN SHASTRA</t>
  </si>
  <si>
    <t>27-01-2025 TO 26-07-2025</t>
  </si>
  <si>
    <t>PO1, PO2, PO5, PO8, PO12</t>
  </si>
  <si>
    <t>CyRAACS - Cyber Risk Advisory and Consulting Services</t>
  </si>
  <si>
    <t>17-02-2025 TO 17-08-2025</t>
  </si>
  <si>
    <t xml:space="preserve">MENTOR LINK </t>
  </si>
  <si>
    <t>01-06-2024 TO 01-02-2025</t>
  </si>
  <si>
    <t>PO1, PO2, PO3, PO5, PO10, PO12</t>
  </si>
  <si>
    <t>Paralaxiom Technologies Private Limited</t>
  </si>
  <si>
    <t>03-03-2025 TO 03-09-2025</t>
  </si>
  <si>
    <t>PO1, PO2, PO3, PO5, PO9, PO10, PO12</t>
  </si>
  <si>
    <t>SAKS INDIA (JAN- JUNE)</t>
  </si>
  <si>
    <t>01-01-2025 TO 01-06-2025</t>
  </si>
  <si>
    <t>S D ENTERPRISIS</t>
  </si>
  <si>
    <t xml:space="preserve">20-01-2025 TO </t>
  </si>
  <si>
    <t>PO1, PO2, PO3, PO9, PO12</t>
  </si>
  <si>
    <t xml:space="preserve">Code tech IT solutions </t>
  </si>
  <si>
    <t>25-02-2025 TO 25-06-2025</t>
  </si>
  <si>
    <t>PO1, PO2, PO5, PO12</t>
  </si>
  <si>
    <t>27-02-2025 TO 27-06-2025</t>
  </si>
  <si>
    <t>10-02-2025 TO 10-06-2025</t>
  </si>
  <si>
    <t>doclens.ai (3 Months)</t>
  </si>
  <si>
    <t xml:space="preserve"> 17-02-2025  TO 17-05-2025</t>
  </si>
  <si>
    <t>FIN SYNTH</t>
  </si>
  <si>
    <t>04-03-2025 TO 04-09-2025</t>
  </si>
  <si>
    <t>ENGATI TECHNOLOGIES PVT. LTD (6 MONTHS JULY-DEC)</t>
  </si>
  <si>
    <t>17-07-2024 TO 17-01-2025</t>
  </si>
  <si>
    <t>PO1, PO3, PO5, PO9, PO12</t>
  </si>
  <si>
    <t>ROYAL CYBER</t>
  </si>
  <si>
    <t>07-02-2025 TO 07-08-2025</t>
  </si>
  <si>
    <t>AMEYA INNOVATION LABS  (SEP- JAN)</t>
  </si>
  <si>
    <t>07-09-2024 TO 07-01-2025</t>
  </si>
  <si>
    <t>20-02-2025 TO 20-06-2025</t>
  </si>
  <si>
    <t>studio ilios</t>
  </si>
  <si>
    <t>10-02-2025 TO 20-06-2025</t>
  </si>
  <si>
    <t>Authlayer pvt ltd</t>
  </si>
  <si>
    <t>06-01-2025 TO 06-05-2025</t>
  </si>
  <si>
    <t>PO1, PO3, PO5, PO12</t>
  </si>
  <si>
    <t>ACCENTURE (FEB-MAY)</t>
  </si>
  <si>
    <t>21-02-2025 TO 21-06-2025</t>
  </si>
  <si>
    <t>PO1, PO2, PO5, PO9, PO12</t>
  </si>
  <si>
    <t>KPMG</t>
  </si>
  <si>
    <t>27-01-2025 TO 25-07-2025</t>
  </si>
  <si>
    <t>30-01-2025 TO 30-05-2025</t>
  </si>
  <si>
    <t>PO2, PO3, PO9, PO12</t>
  </si>
  <si>
    <t>Royal Cyber (6 Months)</t>
  </si>
  <si>
    <t>10-02-2025 TO 10-08-2025</t>
  </si>
  <si>
    <t>05-02-2025 TO 05-06-2025</t>
  </si>
  <si>
    <t>ABINBEV</t>
  </si>
  <si>
    <t>24-02-2025 TO 30-06-2025</t>
  </si>
  <si>
    <t>Quince</t>
  </si>
  <si>
    <t>06-02-2025  TO 29-08-2025</t>
  </si>
  <si>
    <t>INTELIPAAT (JAN-JUNE)</t>
  </si>
  <si>
    <t>27-01-2025 TO 27-06-2025</t>
  </si>
  <si>
    <t>Tata STEEL</t>
  </si>
  <si>
    <t>24-01-2025 TO 24-06-2025</t>
  </si>
  <si>
    <t xml:space="preserve">25-03-2025 TO 25-07-2025 </t>
  </si>
  <si>
    <r>
      <rPr>
        <rFont val="Calibri"/>
        <color theme="1"/>
        <sz val="11.0"/>
      </rPr>
      <t xml:space="preserve">PEOPLE </t>
    </r>
    <r>
      <rPr>
        <rFont val="Calibri"/>
        <color rgb="FF1155CC"/>
        <sz val="11.0"/>
        <u/>
      </rPr>
      <t>BOX.AI</t>
    </r>
  </si>
  <si>
    <t>20-01-2025 TO 20-04-2025</t>
  </si>
  <si>
    <t>HTCD</t>
  </si>
  <si>
    <t>06-01-2025 TO 31-05-2025</t>
  </si>
  <si>
    <t>VERIZON (JAN-JUNE)</t>
  </si>
  <si>
    <t>01-01-2025 TO 30-06-2025</t>
  </si>
  <si>
    <t xml:space="preserve">Movidu technology pvt ltd </t>
  </si>
  <si>
    <t>15-03-2025 TO 15-09-2025</t>
  </si>
  <si>
    <t>BRIDGELINE DIGITAL</t>
  </si>
  <si>
    <t>01-10-2024 TO 31-03-2025</t>
  </si>
  <si>
    <t>BOOMI SOFTWARE (6MONTHS)</t>
  </si>
  <si>
    <t>20-01-2025 TO 18-07-2025</t>
  </si>
  <si>
    <t>NAL</t>
  </si>
  <si>
    <t>05-02-2025 TO 05-08-2025</t>
  </si>
  <si>
    <t>PO1, PO2, PO4, PO12</t>
  </si>
  <si>
    <t xml:space="preserve">Om sharaa info tech pvt ltd </t>
  </si>
  <si>
    <t>01-02-2025 TO 01-06-2025</t>
  </si>
  <si>
    <t>Aquera Labs</t>
  </si>
  <si>
    <t>24-02-2025 TO 24-08-2025</t>
  </si>
  <si>
    <t>BOOMI SOFTWARE</t>
  </si>
  <si>
    <t>Equifax</t>
  </si>
  <si>
    <t>18-02-2025 TO 07-07-2025</t>
  </si>
  <si>
    <t xml:space="preserve"> -</t>
  </si>
  <si>
    <t>PO1, PO2, PO9, PO12</t>
  </si>
  <si>
    <t>24-02-2025 TO 24-06-2025</t>
  </si>
  <si>
    <t>15-03-2025 TO 15-07-2025</t>
  </si>
  <si>
    <t>Robowaves</t>
  </si>
  <si>
    <t>06-02-2025 TO 06-05-2025</t>
  </si>
  <si>
    <t>TECH CITY SFT PVT LTD - 2</t>
  </si>
  <si>
    <t>21-01-2025 TO 20-05-2025</t>
  </si>
  <si>
    <t>15-02-2025 TO 15-06-2025</t>
  </si>
  <si>
    <t>CODE TECH IT SOLUTIONS</t>
  </si>
  <si>
    <t>Code tech IT solutions</t>
  </si>
  <si>
    <t>05-03-2025 TO 05-07-2025</t>
  </si>
  <si>
    <t>IEEE INTERNSHIP, AMEYA INNOVATION LABS, ** AI PALETTE (FEB)</t>
  </si>
  <si>
    <t>20-01-2025 TO 30-06-2025</t>
  </si>
  <si>
    <t>Job Role</t>
  </si>
  <si>
    <t>AI intern</t>
  </si>
  <si>
    <t>Staff Associate Technical Intern</t>
  </si>
  <si>
    <t>AI And ML Development Intern</t>
  </si>
  <si>
    <t>Bussiness Development Associate</t>
  </si>
  <si>
    <t>Associate Software Devloper Intern</t>
  </si>
  <si>
    <t>Predicting Drugs and Drug Targets using Artificial Intelligence</t>
  </si>
  <si>
    <t>INTERN AS eliminating the need for cloud-based processing or</t>
  </si>
  <si>
    <t>Cyber security Intern</t>
  </si>
  <si>
    <t>Software Developer Intern</t>
  </si>
  <si>
    <t>Developing of AI based Chatbox for mentor link</t>
  </si>
  <si>
    <t>Intern, AI &amp; Software Engineer Intern at Paralaxiom, Bengaluru.</t>
  </si>
  <si>
    <t>Intern, Marketing Analytics at Saks OFF 5TH, Bengaluru.</t>
  </si>
  <si>
    <t>Data Analytics</t>
  </si>
  <si>
    <t>Machine Learning</t>
  </si>
  <si>
    <t>Software Engineering</t>
  </si>
  <si>
    <t>Intern, Full Stack Intern at Finsynth, Bengaluru.</t>
  </si>
  <si>
    <t>Python Programming</t>
  </si>
  <si>
    <t>Data Science</t>
  </si>
  <si>
    <t>QA Intern</t>
  </si>
  <si>
    <t>department of Digital Transformation on the basis of the terms mentioned below The purpose of this Internship Agreement is to enable the Intern to gain knowledge and experience during the course of this Internship Agreement.</t>
  </si>
  <si>
    <t>App development and ML model Training Project</t>
  </si>
  <si>
    <t>Software Development</t>
  </si>
  <si>
    <t>Associate Product Management</t>
  </si>
  <si>
    <t>data engineering and analytics.</t>
  </si>
  <si>
    <t>Financial Services domain.</t>
  </si>
  <si>
    <t>Intern ServiceNow Developer</t>
  </si>
  <si>
    <t>Data Analyst</t>
  </si>
  <si>
    <t>Global Logistics-Celonis Tech Internship</t>
  </si>
  <si>
    <t>Data Intern Consultant</t>
  </si>
  <si>
    <t>Business Development Trainee</t>
  </si>
  <si>
    <t>Development of Vector DB-Based Chatbot Agent</t>
  </si>
  <si>
    <t>Data Analyst Intern</t>
  </si>
  <si>
    <t>Data Science domain</t>
  </si>
  <si>
    <r>
      <rPr>
        <rFont val="Calibri"/>
        <color theme="1"/>
        <sz val="11.0"/>
      </rPr>
      <t xml:space="preserve">PEOPLE </t>
    </r>
    <r>
      <rPr>
        <rFont val="Calibri"/>
        <color rgb="FF1155CC"/>
        <sz val="11.0"/>
        <u/>
      </rPr>
      <t>BOX.AI</t>
    </r>
  </si>
  <si>
    <t>Backend Developer Intern</t>
  </si>
  <si>
    <t>Intern Servicenow Devolper</t>
  </si>
  <si>
    <t>Software developer Intern</t>
  </si>
  <si>
    <t>s/w intern</t>
  </si>
  <si>
    <t>Aeronautical and Aerospace domain</t>
  </si>
  <si>
    <t>Trainee at equifax</t>
  </si>
  <si>
    <t>PYTHON FULL-STACK DEVELOPMENT</t>
  </si>
  <si>
    <t>S/W intern</t>
  </si>
  <si>
    <t>App Development and ML Model Training Project</t>
  </si>
  <si>
    <t>Intern, Data Strategy and Automation</t>
  </si>
  <si>
    <t>S/w intern</t>
  </si>
  <si>
    <t>yes</t>
  </si>
  <si>
    <t>no ans</t>
  </si>
  <si>
    <t>not coming</t>
  </si>
  <si>
    <t>yes mom</t>
  </si>
  <si>
    <t xml:space="preserve">yes - guardian </t>
  </si>
  <si>
    <t>DAYANANDA SAGAR COLLEGE OF ENGINEERING
DEPARTMENT OF ARTIFICIAL INTELLIGENCE &amp; MACHINE LEARNING 
NLP LAB - 21AIL66 
FINAL CIE MARKS SHEET</t>
  </si>
  <si>
    <t>EXEC</t>
  </si>
  <si>
    <t>RECORD</t>
  </si>
  <si>
    <t>VIVA</t>
  </si>
  <si>
    <t>CIE</t>
  </si>
  <si>
    <t>REDUCED</t>
  </si>
  <si>
    <t>TOTAL</t>
  </si>
  <si>
    <t>SIGNATURE</t>
  </si>
  <si>
    <t>AMITH</t>
  </si>
  <si>
    <t>ANKUSH</t>
  </si>
  <si>
    <t>PRERANA</t>
  </si>
  <si>
    <t>RIJUTHA</t>
  </si>
  <si>
    <t>SHASHANK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</si>
</sst>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20">
    <font>
      <sz val="11.0"/>
      <color theme="1"/>
      <name val="Calibri"/>
      <scheme val="minor"/>
    </font>
    <font>
      <b/>
      <sz val="12.0"/>
      <color theme="1"/>
      <name val="Times New Roman"/>
    </font>
    <font>
      <b/>
      <sz val="11.0"/>
      <color theme="1"/>
      <name val="Calibri"/>
    </font>
    <font>
      <sz val="11.0"/>
      <color theme="1"/>
      <name val="Calibri"/>
    </font>
    <font>
      <sz val="11.0"/>
      <color theme="1"/>
      <name val="Times New Roman"/>
    </font>
    <font>
      <sz val="12.0"/>
      <color theme="1"/>
      <name val="Calibri"/>
    </font>
    <font>
      <sz val="11.0"/>
      <color rgb="FFFF0000"/>
      <name val="Times New Roman"/>
    </font>
    <font>
      <sz val="12.0"/>
      <color rgb="FFFF0000"/>
      <name val="Calibri"/>
    </font>
    <font>
      <sz val="11.0"/>
      <color rgb="FFFF0000"/>
      <name val="Calibri"/>
    </font>
    <font>
      <sz val="16.0"/>
      <color theme="1"/>
      <name val="Times New Roman"/>
    </font>
    <font>
      <sz val="15.0"/>
      <color theme="1"/>
      <name val="Times New Roman"/>
    </font>
    <font>
      <b/>
      <i/>
      <sz val="14.0"/>
      <color theme="1"/>
      <name val="Times New Roman"/>
    </font>
    <font>
      <b/>
      <sz val="13.0"/>
      <color theme="1"/>
      <name val="Calibri"/>
    </font>
    <font>
      <b/>
      <sz val="13.0"/>
      <color theme="1"/>
      <name val="Times New Roman"/>
    </font>
    <font>
      <sz val="11.0"/>
      <color rgb="FF000000"/>
      <name val="Times New Roman"/>
    </font>
    <font>
      <sz val="12.0"/>
      <color rgb="FF000000"/>
      <name val="Calibri"/>
    </font>
    <font>
      <u/>
      <sz val="11.0"/>
      <color rgb="FF0563C1"/>
      <name val="Calibri"/>
    </font>
    <font>
      <u/>
      <sz val="11.0"/>
      <color theme="1"/>
      <name val="Calibri"/>
    </font>
    <font>
      <b/>
      <sz val="12.0"/>
      <color theme="1"/>
      <name val="Calibri"/>
    </font>
    <font/>
  </fonts>
  <fills count="5">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FFF00"/>
        <bgColor rgb="FFFFFF00"/>
      </patternFill>
    </fill>
  </fills>
  <borders count="8">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style="thin">
        <color rgb="FF000000"/>
      </bottom>
    </border>
    <border>
      <left style="thin">
        <color rgb="FF000000"/>
      </left>
      <top/>
      <bottom/>
    </border>
    <border>
      <top/>
      <bottom/>
    </border>
    <border>
      <right/>
      <top/>
      <bottom/>
    </border>
    <border>
      <left style="thin">
        <color rgb="FF000000"/>
      </left>
      <right style="thin">
        <color rgb="FF000000"/>
      </right>
      <top/>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2" numFmtId="0" xfId="0" applyAlignment="1" applyBorder="1" applyFont="1">
      <alignment horizontal="center" vertical="center"/>
    </xf>
    <xf borderId="1" fillId="2" fontId="2" numFmtId="1" xfId="0" applyAlignment="1" applyBorder="1" applyFont="1" applyNumberFormat="1">
      <alignment horizontal="center" vertical="center"/>
    </xf>
    <xf borderId="2" fillId="2" fontId="3" numFmtId="0" xfId="0" applyBorder="1" applyFont="1"/>
    <xf borderId="1" fillId="2" fontId="3" numFmtId="0" xfId="0" applyBorder="1" applyFont="1"/>
    <xf borderId="1" fillId="2" fontId="3" numFmtId="1" xfId="0" applyBorder="1" applyFont="1" applyNumberFormat="1"/>
    <xf borderId="1" fillId="2" fontId="4" numFmtId="0" xfId="0" applyAlignment="1" applyBorder="1" applyFont="1">
      <alignment horizontal="center" shrinkToFit="0" vertical="top" wrapText="1"/>
    </xf>
    <xf borderId="1" fillId="2" fontId="5" numFmtId="0" xfId="0" applyAlignment="1" applyBorder="1" applyFont="1">
      <alignment horizontal="center" shrinkToFit="0" wrapText="1"/>
    </xf>
    <xf borderId="1" fillId="2" fontId="5" numFmtId="0" xfId="0" applyAlignment="1" applyBorder="1" applyFont="1">
      <alignment shrinkToFit="0" wrapText="1"/>
    </xf>
    <xf borderId="1" fillId="2" fontId="6" numFmtId="0" xfId="0" applyAlignment="1" applyBorder="1" applyFont="1">
      <alignment horizontal="center" shrinkToFit="0" vertical="top" wrapText="1"/>
    </xf>
    <xf borderId="1" fillId="2" fontId="7" numFmtId="0" xfId="0" applyAlignment="1" applyBorder="1" applyFont="1">
      <alignment horizontal="center" shrinkToFit="0" wrapText="1"/>
    </xf>
    <xf borderId="1" fillId="2" fontId="7" numFmtId="0" xfId="0" applyAlignment="1" applyBorder="1" applyFont="1">
      <alignment shrinkToFit="0" wrapText="1"/>
    </xf>
    <xf borderId="1" fillId="2" fontId="8" numFmtId="0" xfId="0" applyBorder="1" applyFont="1"/>
    <xf borderId="1" fillId="2" fontId="8" numFmtId="1" xfId="0" applyBorder="1" applyFont="1" applyNumberFormat="1"/>
    <xf borderId="2" fillId="2" fontId="3" numFmtId="1" xfId="0" applyBorder="1" applyFont="1" applyNumberFormat="1"/>
    <xf borderId="0" fillId="0" fontId="3" numFmtId="0" xfId="0" applyAlignment="1" applyFont="1">
      <alignment horizontal="center"/>
    </xf>
    <xf borderId="0" fillId="0" fontId="9" numFmtId="0" xfId="0" applyAlignment="1" applyFont="1">
      <alignment horizontal="center"/>
    </xf>
    <xf borderId="0" fillId="0" fontId="3" numFmtId="0" xfId="0" applyFont="1"/>
    <xf borderId="0" fillId="0" fontId="10" numFmtId="0" xfId="0" applyAlignment="1" applyFont="1">
      <alignment horizontal="center"/>
    </xf>
    <xf borderId="0" fillId="0" fontId="11" numFmtId="0" xfId="0" applyAlignment="1" applyFont="1">
      <alignment horizontal="center" vertical="center"/>
    </xf>
    <xf borderId="0" fillId="0" fontId="12" numFmtId="0" xfId="0" applyFont="1"/>
    <xf borderId="1" fillId="3" fontId="13" numFmtId="0" xfId="0" applyAlignment="1" applyBorder="1" applyFill="1" applyFont="1">
      <alignment horizontal="center" shrinkToFit="0" wrapText="1"/>
    </xf>
    <xf borderId="1" fillId="3" fontId="13" numFmtId="0" xfId="0" applyAlignment="1" applyBorder="1" applyFont="1">
      <alignment horizontal="left" shrinkToFit="0" wrapText="1"/>
    </xf>
    <xf borderId="1" fillId="3" fontId="12" numFmtId="0" xfId="0" applyAlignment="1" applyBorder="1" applyFont="1">
      <alignment horizontal="center"/>
    </xf>
    <xf borderId="3" fillId="3" fontId="12" numFmtId="0" xfId="0" applyAlignment="1" applyBorder="1" applyFont="1">
      <alignment horizontal="center"/>
    </xf>
    <xf borderId="1" fillId="0" fontId="2" numFmtId="0" xfId="0" applyAlignment="1" applyBorder="1" applyFont="1">
      <alignment horizontal="center" shrinkToFit="0" vertical="center" wrapText="1"/>
    </xf>
    <xf borderId="0" fillId="0" fontId="12" numFmtId="0" xfId="0" applyAlignment="1" applyFont="1">
      <alignment horizontal="center"/>
    </xf>
    <xf borderId="1" fillId="3" fontId="4" numFmtId="0" xfId="0" applyAlignment="1" applyBorder="1" applyFont="1">
      <alignment horizontal="center" shrinkToFit="0" vertical="top" wrapText="1"/>
    </xf>
    <xf borderId="1" fillId="3" fontId="5" numFmtId="0" xfId="0" applyAlignment="1" applyBorder="1" applyFont="1">
      <alignment horizontal="center" shrinkToFit="0" wrapText="1"/>
    </xf>
    <xf borderId="1" fillId="3" fontId="5" numFmtId="0" xfId="0" applyAlignment="1" applyBorder="1" applyFont="1">
      <alignment horizontal="left" shrinkToFit="0" wrapText="1"/>
    </xf>
    <xf borderId="1" fillId="3" fontId="3" numFmtId="0" xfId="0" applyAlignment="1" applyBorder="1" applyFont="1">
      <alignment horizontal="center" shrinkToFit="0" wrapText="1"/>
    </xf>
    <xf borderId="1" fillId="2" fontId="3" numFmtId="164" xfId="0" applyAlignment="1" applyBorder="1" applyFont="1" applyNumberFormat="1">
      <alignment horizontal="left"/>
    </xf>
    <xf borderId="3" fillId="3" fontId="3" numFmtId="3" xfId="0" applyAlignment="1" applyBorder="1" applyFont="1" applyNumberFormat="1">
      <alignment horizontal="center"/>
    </xf>
    <xf borderId="1" fillId="0" fontId="3" numFmtId="0" xfId="0" applyAlignment="1" applyBorder="1" applyFont="1">
      <alignment shrinkToFit="0" vertical="center" wrapText="1"/>
    </xf>
    <xf borderId="1" fillId="3" fontId="3" numFmtId="0" xfId="0" applyBorder="1" applyFont="1"/>
    <xf borderId="3" fillId="3" fontId="3" numFmtId="0" xfId="0" applyAlignment="1" applyBorder="1" applyFont="1">
      <alignment horizontal="center"/>
    </xf>
    <xf borderId="1" fillId="3" fontId="14" numFmtId="0" xfId="0" applyAlignment="1" applyBorder="1" applyFont="1">
      <alignment horizontal="center" shrinkToFit="0" vertical="top" wrapText="1"/>
    </xf>
    <xf borderId="1" fillId="3" fontId="15" numFmtId="0" xfId="0" applyAlignment="1" applyBorder="1" applyFont="1">
      <alignment horizontal="center" shrinkToFit="0" wrapText="1"/>
    </xf>
    <xf borderId="1" fillId="3" fontId="15" numFmtId="0" xfId="0" applyAlignment="1" applyBorder="1" applyFont="1">
      <alignment horizontal="left" shrinkToFit="0" wrapText="1"/>
    </xf>
    <xf borderId="1" fillId="2" fontId="3" numFmtId="0" xfId="0" applyAlignment="1" applyBorder="1" applyFont="1">
      <alignment horizontal="center" shrinkToFit="0" wrapText="1"/>
    </xf>
    <xf borderId="1" fillId="3" fontId="16" numFmtId="0" xfId="0" applyAlignment="1" applyBorder="1" applyFont="1">
      <alignment horizontal="center" shrinkToFit="0" wrapText="1"/>
    </xf>
    <xf borderId="1" fillId="2" fontId="3" numFmtId="14" xfId="0" applyBorder="1" applyFont="1" applyNumberFormat="1"/>
    <xf borderId="1" fillId="2" fontId="17" numFmtId="0" xfId="0" applyAlignment="1" applyBorder="1" applyFont="1">
      <alignment horizontal="center" shrinkToFit="0" wrapText="1"/>
    </xf>
    <xf borderId="2" fillId="3" fontId="3" numFmtId="0" xfId="0" applyBorder="1" applyFont="1"/>
    <xf borderId="2" fillId="3" fontId="3" numFmtId="0" xfId="0" applyAlignment="1" applyBorder="1" applyFont="1">
      <alignment horizontal="left"/>
    </xf>
    <xf borderId="0" fillId="0" fontId="4" numFmtId="0" xfId="0" applyAlignment="1" applyFont="1">
      <alignment shrinkToFit="0" wrapText="1"/>
    </xf>
    <xf borderId="1" fillId="0" fontId="13" numFmtId="0" xfId="0" applyAlignment="1" applyBorder="1" applyFont="1">
      <alignment horizontal="center" shrinkToFit="0" wrapText="1"/>
    </xf>
    <xf borderId="1" fillId="0" fontId="4" numFmtId="0" xfId="0" applyAlignment="1" applyBorder="1" applyFont="1">
      <alignment shrinkToFit="0" wrapText="1"/>
    </xf>
    <xf borderId="1" fillId="3" fontId="5" numFmtId="0" xfId="0" applyAlignment="1" applyBorder="1" applyFont="1">
      <alignment shrinkToFit="0" wrapText="1"/>
    </xf>
    <xf borderId="4" fillId="2" fontId="18" numFmtId="0" xfId="0" applyAlignment="1" applyBorder="1" applyFont="1">
      <alignment horizontal="center" shrinkToFit="0" wrapText="1"/>
    </xf>
    <xf borderId="5" fillId="0" fontId="19" numFmtId="0" xfId="0" applyBorder="1" applyFont="1"/>
    <xf borderId="6" fillId="0" fontId="19" numFmtId="0" xfId="0" applyBorder="1" applyFont="1"/>
    <xf borderId="2" fillId="2" fontId="18" numFmtId="0" xfId="0" applyAlignment="1" applyBorder="1" applyFont="1">
      <alignment shrinkToFit="0" wrapText="1"/>
    </xf>
    <xf borderId="0" fillId="0" fontId="3" numFmtId="0" xfId="0" applyAlignment="1" applyFont="1">
      <alignment horizontal="center" vertical="center"/>
    </xf>
    <xf borderId="1" fillId="2" fontId="1" numFmtId="0" xfId="0" applyAlignment="1" applyBorder="1" applyFont="1">
      <alignment horizontal="center" shrinkToFit="0" vertical="center" wrapText="1"/>
    </xf>
    <xf borderId="1" fillId="0" fontId="2" numFmtId="0" xfId="0" applyAlignment="1" applyBorder="1" applyFont="1">
      <alignment horizontal="center" vertical="center"/>
    </xf>
    <xf borderId="1" fillId="0" fontId="3" numFmtId="0" xfId="0" applyBorder="1" applyFont="1"/>
    <xf borderId="7" fillId="2" fontId="4" numFmtId="0" xfId="0" applyAlignment="1" applyBorder="1" applyFont="1">
      <alignment horizontal="center" shrinkToFit="0" vertical="top" wrapText="1"/>
    </xf>
    <xf borderId="7" fillId="2" fontId="5" numFmtId="0" xfId="0" applyAlignment="1" applyBorder="1" applyFont="1">
      <alignment horizontal="center" shrinkToFit="0" wrapText="1"/>
    </xf>
    <xf borderId="7" fillId="2" fontId="5" numFmtId="0" xfId="0" applyAlignment="1" applyBorder="1" applyFont="1">
      <alignment shrinkToFit="0" wrapText="1"/>
    </xf>
    <xf borderId="1" fillId="0" fontId="3" numFmtId="0" xfId="0" applyAlignment="1" applyBorder="1" applyFont="1">
      <alignment horizontal="center" vertical="center"/>
    </xf>
    <xf borderId="1" fillId="4" fontId="5" numFmtId="0" xfId="0" applyAlignment="1" applyBorder="1" applyFill="1" applyFont="1">
      <alignment horizontal="center" shrinkToFit="0" wrapText="1"/>
    </xf>
    <xf borderId="2" fillId="4" fontId="3" numFmtId="0" xfId="0" applyBorder="1" applyFont="1"/>
    <xf borderId="1" fillId="4" fontId="5"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0</xdr:row>
      <xdr:rowOff>161925</xdr:rowOff>
    </xdr:from>
    <xdr:ext cx="1028700" cy="981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0</xdr:row>
      <xdr:rowOff>85725</xdr:rowOff>
    </xdr:from>
    <xdr:ext cx="1028700" cy="981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doclens.ai/" TargetMode="External"/><Relationship Id="rId2" Type="http://schemas.openxmlformats.org/officeDocument/2006/relationships/hyperlink" Target="http://box.ai/"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doclens.ai/" TargetMode="External"/><Relationship Id="rId2" Type="http://schemas.openxmlformats.org/officeDocument/2006/relationships/hyperlink" Target="http://box.ai/"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5.57"/>
    <col customWidth="1" min="3" max="3" width="22.71"/>
    <col customWidth="1" min="4" max="26" width="8.71"/>
  </cols>
  <sheetData>
    <row r="1" ht="39.0" customHeight="1">
      <c r="A1" s="1" t="s">
        <v>0</v>
      </c>
      <c r="B1" s="1" t="s">
        <v>1</v>
      </c>
      <c r="C1" s="1" t="s">
        <v>2</v>
      </c>
      <c r="D1" s="2" t="s">
        <v>3</v>
      </c>
      <c r="E1" s="2" t="s">
        <v>4</v>
      </c>
      <c r="F1" s="2" t="s">
        <v>5</v>
      </c>
      <c r="G1" s="2" t="s">
        <v>6</v>
      </c>
      <c r="H1" s="2" t="s">
        <v>7</v>
      </c>
      <c r="I1" s="2" t="s">
        <v>5</v>
      </c>
      <c r="J1" s="2" t="s">
        <v>6</v>
      </c>
      <c r="K1" s="2" t="s">
        <v>8</v>
      </c>
      <c r="L1" s="2" t="s">
        <v>9</v>
      </c>
      <c r="M1" s="2"/>
      <c r="N1" s="3" t="s">
        <v>10</v>
      </c>
      <c r="O1" s="3" t="s">
        <v>11</v>
      </c>
      <c r="P1" s="2" t="s">
        <v>12</v>
      </c>
      <c r="Q1" s="2" t="s">
        <v>13</v>
      </c>
      <c r="R1" s="2" t="s">
        <v>14</v>
      </c>
      <c r="S1" s="4"/>
      <c r="T1" s="4"/>
      <c r="U1" s="4"/>
      <c r="V1" s="4"/>
      <c r="W1" s="4"/>
      <c r="X1" s="4"/>
      <c r="Y1" s="4"/>
      <c r="Z1" s="4"/>
    </row>
    <row r="2" ht="27.0" customHeight="1">
      <c r="A2" s="1"/>
      <c r="B2" s="1"/>
      <c r="C2" s="1" t="s">
        <v>15</v>
      </c>
      <c r="D2" s="5">
        <v>50.0</v>
      </c>
      <c r="E2" s="5">
        <f t="shared" ref="E2:E69" si="2">(30*D2)/50</f>
        <v>30</v>
      </c>
      <c r="F2" s="5"/>
      <c r="G2" s="5">
        <v>50.0</v>
      </c>
      <c r="H2" s="5">
        <f t="shared" ref="H2:H69" si="3">(30*G2)/50</f>
        <v>30</v>
      </c>
      <c r="I2" s="5"/>
      <c r="J2" s="5">
        <v>50.0</v>
      </c>
      <c r="K2" s="5">
        <v>50.0</v>
      </c>
      <c r="L2" s="5">
        <f t="shared" ref="L2:L69" si="4">(30*K2)/50</f>
        <v>30</v>
      </c>
      <c r="M2" s="5"/>
      <c r="N2" s="6">
        <f t="shared" ref="N2:O2" si="1">SUM(D2+G2+K2)/3</f>
        <v>50</v>
      </c>
      <c r="O2" s="6">
        <f t="shared" si="1"/>
        <v>30</v>
      </c>
      <c r="P2" s="5">
        <v>10.0</v>
      </c>
      <c r="Q2" s="5">
        <v>10.0</v>
      </c>
      <c r="R2" s="6">
        <f t="shared" ref="R2:R69" si="6">SUM(O2+P2+Q2)</f>
        <v>50</v>
      </c>
      <c r="S2" s="4"/>
      <c r="T2" s="4"/>
      <c r="U2" s="4"/>
      <c r="V2" s="4"/>
      <c r="W2" s="4"/>
      <c r="X2" s="4"/>
      <c r="Y2" s="4"/>
      <c r="Z2" s="4"/>
    </row>
    <row r="3" ht="14.25" customHeight="1">
      <c r="A3" s="7">
        <v>1.0</v>
      </c>
      <c r="B3" s="8" t="s">
        <v>16</v>
      </c>
      <c r="C3" s="9" t="s">
        <v>17</v>
      </c>
      <c r="D3" s="5">
        <v>29.0</v>
      </c>
      <c r="E3" s="5">
        <f t="shared" si="2"/>
        <v>17.4</v>
      </c>
      <c r="F3" s="5">
        <v>18.0</v>
      </c>
      <c r="G3" s="5">
        <v>24.0</v>
      </c>
      <c r="H3" s="5">
        <f t="shared" si="3"/>
        <v>14.4</v>
      </c>
      <c r="I3" s="5">
        <v>15.0</v>
      </c>
      <c r="J3" s="5">
        <v>24.0</v>
      </c>
      <c r="K3" s="5">
        <v>40.0</v>
      </c>
      <c r="L3" s="5">
        <f t="shared" si="4"/>
        <v>24</v>
      </c>
      <c r="M3" s="5">
        <f t="shared" ref="M3:M69" si="7">ROUNDUP(L3,0)</f>
        <v>24</v>
      </c>
      <c r="N3" s="6">
        <f t="shared" ref="N3:O3" si="5">SUM(D3+G3+K3)/3</f>
        <v>31</v>
      </c>
      <c r="O3" s="6">
        <f t="shared" si="5"/>
        <v>18.6</v>
      </c>
      <c r="P3" s="5">
        <v>10.0</v>
      </c>
      <c r="Q3" s="5">
        <v>10.0</v>
      </c>
      <c r="R3" s="6">
        <f t="shared" si="6"/>
        <v>38.6</v>
      </c>
      <c r="S3" s="4">
        <f t="shared" ref="S3:S69" si="9">ROUNDUP(R3,0)</f>
        <v>39</v>
      </c>
      <c r="T3" s="4"/>
      <c r="U3" s="4"/>
      <c r="V3" s="4"/>
      <c r="W3" s="4"/>
      <c r="X3" s="4"/>
      <c r="Y3" s="4"/>
      <c r="Z3" s="4"/>
    </row>
    <row r="4" ht="14.25" customHeight="1">
      <c r="A4" s="7">
        <v>2.0</v>
      </c>
      <c r="B4" s="8" t="s">
        <v>18</v>
      </c>
      <c r="C4" s="9" t="s">
        <v>19</v>
      </c>
      <c r="D4" s="5">
        <v>50.0</v>
      </c>
      <c r="E4" s="5">
        <f t="shared" si="2"/>
        <v>30</v>
      </c>
      <c r="F4" s="5">
        <v>30.0</v>
      </c>
      <c r="G4" s="5">
        <v>50.0</v>
      </c>
      <c r="H4" s="5">
        <f t="shared" si="3"/>
        <v>30</v>
      </c>
      <c r="I4" s="5">
        <v>30.0</v>
      </c>
      <c r="J4" s="5">
        <v>50.0</v>
      </c>
      <c r="K4" s="5">
        <v>44.0</v>
      </c>
      <c r="L4" s="5">
        <f t="shared" si="4"/>
        <v>26.4</v>
      </c>
      <c r="M4" s="5">
        <f t="shared" si="7"/>
        <v>27</v>
      </c>
      <c r="N4" s="6">
        <f t="shared" ref="N4:O4" si="8">SUM(D4+G4+K4)/3</f>
        <v>48</v>
      </c>
      <c r="O4" s="6">
        <f t="shared" si="8"/>
        <v>28.8</v>
      </c>
      <c r="P4" s="5">
        <v>10.0</v>
      </c>
      <c r="Q4" s="5">
        <v>10.0</v>
      </c>
      <c r="R4" s="6">
        <f t="shared" si="6"/>
        <v>48.8</v>
      </c>
      <c r="S4" s="4">
        <f t="shared" si="9"/>
        <v>49</v>
      </c>
      <c r="T4" s="4"/>
      <c r="U4" s="4"/>
      <c r="V4" s="4"/>
      <c r="W4" s="4"/>
      <c r="X4" s="4"/>
      <c r="Y4" s="4"/>
      <c r="Z4" s="4"/>
    </row>
    <row r="5" ht="14.25" customHeight="1">
      <c r="A5" s="7">
        <v>3.0</v>
      </c>
      <c r="B5" s="8" t="s">
        <v>20</v>
      </c>
      <c r="C5" s="9" t="s">
        <v>21</v>
      </c>
      <c r="D5" s="5">
        <v>21.0</v>
      </c>
      <c r="E5" s="5">
        <f t="shared" si="2"/>
        <v>12.6</v>
      </c>
      <c r="F5" s="5">
        <v>13.0</v>
      </c>
      <c r="G5" s="5">
        <v>21.0</v>
      </c>
      <c r="H5" s="5">
        <f t="shared" si="3"/>
        <v>12.6</v>
      </c>
      <c r="I5" s="5">
        <v>13.0</v>
      </c>
      <c r="J5" s="5">
        <v>21.0</v>
      </c>
      <c r="K5" s="5">
        <v>30.0</v>
      </c>
      <c r="L5" s="5">
        <f t="shared" si="4"/>
        <v>18</v>
      </c>
      <c r="M5" s="5">
        <f t="shared" si="7"/>
        <v>18</v>
      </c>
      <c r="N5" s="6">
        <f t="shared" ref="N5:O5" si="10">SUM(D5+G5+K5)/3</f>
        <v>24</v>
      </c>
      <c r="O5" s="6">
        <f t="shared" si="10"/>
        <v>14.4</v>
      </c>
      <c r="P5" s="5">
        <v>10.0</v>
      </c>
      <c r="Q5" s="5">
        <v>10.0</v>
      </c>
      <c r="R5" s="6">
        <f t="shared" si="6"/>
        <v>34.4</v>
      </c>
      <c r="S5" s="4">
        <f t="shared" si="9"/>
        <v>35</v>
      </c>
      <c r="T5" s="4"/>
      <c r="U5" s="4"/>
      <c r="V5" s="4"/>
      <c r="W5" s="4"/>
      <c r="X5" s="4"/>
      <c r="Y5" s="4"/>
      <c r="Z5" s="4"/>
    </row>
    <row r="6" ht="14.25" customHeight="1">
      <c r="A6" s="10">
        <v>4.0</v>
      </c>
      <c r="B6" s="11" t="s">
        <v>22</v>
      </c>
      <c r="C6" s="12" t="s">
        <v>23</v>
      </c>
      <c r="D6" s="13"/>
      <c r="E6" s="13">
        <f t="shared" si="2"/>
        <v>0</v>
      </c>
      <c r="F6" s="5">
        <v>0.0</v>
      </c>
      <c r="G6" s="13"/>
      <c r="H6" s="13">
        <f t="shared" si="3"/>
        <v>0</v>
      </c>
      <c r="I6" s="5">
        <v>0.0</v>
      </c>
      <c r="J6" s="5"/>
      <c r="K6" s="13">
        <v>24.0</v>
      </c>
      <c r="L6" s="5">
        <f t="shared" si="4"/>
        <v>14.4</v>
      </c>
      <c r="M6" s="5">
        <f t="shared" si="7"/>
        <v>15</v>
      </c>
      <c r="N6" s="14">
        <f t="shared" ref="N6:O6" si="11">SUM(D6+G6+K6)/3</f>
        <v>8</v>
      </c>
      <c r="O6" s="14">
        <f t="shared" si="11"/>
        <v>4.8</v>
      </c>
      <c r="P6" s="5">
        <v>0.0</v>
      </c>
      <c r="Q6" s="13">
        <v>0.0</v>
      </c>
      <c r="R6" s="6">
        <f t="shared" si="6"/>
        <v>4.8</v>
      </c>
      <c r="S6" s="4">
        <f t="shared" si="9"/>
        <v>5</v>
      </c>
      <c r="T6" s="4"/>
      <c r="U6" s="4"/>
      <c r="V6" s="4"/>
      <c r="W6" s="4"/>
      <c r="X6" s="4"/>
      <c r="Y6" s="4"/>
      <c r="Z6" s="4"/>
    </row>
    <row r="7" ht="14.25" customHeight="1">
      <c r="A7" s="7">
        <v>5.0</v>
      </c>
      <c r="B7" s="8" t="s">
        <v>24</v>
      </c>
      <c r="C7" s="9" t="s">
        <v>25</v>
      </c>
      <c r="D7" s="5">
        <v>47.0</v>
      </c>
      <c r="E7" s="5">
        <f t="shared" si="2"/>
        <v>28.2</v>
      </c>
      <c r="F7" s="5">
        <v>29.0</v>
      </c>
      <c r="G7" s="5">
        <v>49.0</v>
      </c>
      <c r="H7" s="5">
        <f t="shared" si="3"/>
        <v>29.4</v>
      </c>
      <c r="I7" s="5">
        <v>30.0</v>
      </c>
      <c r="J7" s="5">
        <v>49.0</v>
      </c>
      <c r="K7" s="5">
        <v>42.0</v>
      </c>
      <c r="L7" s="5">
        <f t="shared" si="4"/>
        <v>25.2</v>
      </c>
      <c r="M7" s="5">
        <f t="shared" si="7"/>
        <v>26</v>
      </c>
      <c r="N7" s="6">
        <f t="shared" ref="N7:O7" si="12">SUM(D7+G7+K7)/3</f>
        <v>46</v>
      </c>
      <c r="O7" s="6">
        <f t="shared" si="12"/>
        <v>27.6</v>
      </c>
      <c r="P7" s="5">
        <v>10.0</v>
      </c>
      <c r="Q7" s="5">
        <v>10.0</v>
      </c>
      <c r="R7" s="6">
        <f t="shared" si="6"/>
        <v>47.6</v>
      </c>
      <c r="S7" s="4">
        <f t="shared" si="9"/>
        <v>48</v>
      </c>
      <c r="T7" s="4"/>
      <c r="U7" s="4"/>
      <c r="V7" s="4"/>
      <c r="W7" s="4"/>
      <c r="X7" s="4"/>
      <c r="Y7" s="4"/>
      <c r="Z7" s="4"/>
    </row>
    <row r="8" ht="14.25" customHeight="1">
      <c r="A8" s="7">
        <v>6.0</v>
      </c>
      <c r="B8" s="8" t="s">
        <v>26</v>
      </c>
      <c r="C8" s="9" t="s">
        <v>27</v>
      </c>
      <c r="D8" s="5">
        <v>20.0</v>
      </c>
      <c r="E8" s="5">
        <f t="shared" si="2"/>
        <v>12</v>
      </c>
      <c r="F8" s="5">
        <v>12.0</v>
      </c>
      <c r="G8" s="5">
        <v>25.0</v>
      </c>
      <c r="H8" s="5">
        <f t="shared" si="3"/>
        <v>15</v>
      </c>
      <c r="I8" s="5">
        <v>15.0</v>
      </c>
      <c r="J8" s="5">
        <v>25.0</v>
      </c>
      <c r="K8" s="5">
        <v>35.0</v>
      </c>
      <c r="L8" s="5">
        <f t="shared" si="4"/>
        <v>21</v>
      </c>
      <c r="M8" s="5">
        <f t="shared" si="7"/>
        <v>21</v>
      </c>
      <c r="N8" s="6">
        <f t="shared" ref="N8:O8" si="13">SUM(D8+G8+K8)/3</f>
        <v>26.66666667</v>
      </c>
      <c r="O8" s="6">
        <f t="shared" si="13"/>
        <v>16</v>
      </c>
      <c r="P8" s="5">
        <v>10.0</v>
      </c>
      <c r="Q8" s="5">
        <v>10.0</v>
      </c>
      <c r="R8" s="6">
        <f t="shared" si="6"/>
        <v>36</v>
      </c>
      <c r="S8" s="4">
        <f t="shared" si="9"/>
        <v>36</v>
      </c>
      <c r="T8" s="4"/>
      <c r="U8" s="4"/>
      <c r="V8" s="4"/>
      <c r="W8" s="4"/>
      <c r="X8" s="4"/>
      <c r="Y8" s="4"/>
      <c r="Z8" s="4"/>
    </row>
    <row r="9" ht="14.25" customHeight="1">
      <c r="A9" s="7">
        <v>7.0</v>
      </c>
      <c r="B9" s="8" t="s">
        <v>28</v>
      </c>
      <c r="C9" s="9" t="s">
        <v>29</v>
      </c>
      <c r="D9" s="5">
        <v>23.0</v>
      </c>
      <c r="E9" s="5">
        <f t="shared" si="2"/>
        <v>13.8</v>
      </c>
      <c r="F9" s="5">
        <v>14.0</v>
      </c>
      <c r="G9" s="5">
        <v>22.0</v>
      </c>
      <c r="H9" s="5">
        <f t="shared" si="3"/>
        <v>13.2</v>
      </c>
      <c r="I9" s="5">
        <v>14.0</v>
      </c>
      <c r="J9" s="5">
        <v>22.0</v>
      </c>
      <c r="K9" s="5">
        <v>13.0</v>
      </c>
      <c r="L9" s="5">
        <f t="shared" si="4"/>
        <v>7.8</v>
      </c>
      <c r="M9" s="5">
        <f t="shared" si="7"/>
        <v>8</v>
      </c>
      <c r="N9" s="6">
        <f t="shared" ref="N9:O9" si="14">SUM(D9+G9+K9)/3</f>
        <v>19.33333333</v>
      </c>
      <c r="O9" s="6">
        <f t="shared" si="14"/>
        <v>11.6</v>
      </c>
      <c r="P9" s="5">
        <v>10.0</v>
      </c>
      <c r="Q9" s="5">
        <v>10.0</v>
      </c>
      <c r="R9" s="6">
        <f t="shared" si="6"/>
        <v>31.6</v>
      </c>
      <c r="S9" s="4">
        <f t="shared" si="9"/>
        <v>32</v>
      </c>
      <c r="T9" s="4"/>
      <c r="U9" s="4"/>
      <c r="V9" s="4"/>
      <c r="W9" s="4"/>
      <c r="X9" s="4"/>
      <c r="Y9" s="4"/>
      <c r="Z9" s="4"/>
    </row>
    <row r="10" ht="14.25" customHeight="1">
      <c r="A10" s="7">
        <v>8.0</v>
      </c>
      <c r="B10" s="8" t="s">
        <v>30</v>
      </c>
      <c r="C10" s="9" t="s">
        <v>31</v>
      </c>
      <c r="D10" s="5">
        <v>32.0</v>
      </c>
      <c r="E10" s="5">
        <f t="shared" si="2"/>
        <v>19.2</v>
      </c>
      <c r="F10" s="5">
        <v>20.0</v>
      </c>
      <c r="G10" s="5">
        <v>47.0</v>
      </c>
      <c r="H10" s="5">
        <f t="shared" si="3"/>
        <v>28.2</v>
      </c>
      <c r="I10" s="5">
        <v>29.0</v>
      </c>
      <c r="J10" s="5">
        <v>47.0</v>
      </c>
      <c r="K10" s="5">
        <v>40.0</v>
      </c>
      <c r="L10" s="5">
        <f t="shared" si="4"/>
        <v>24</v>
      </c>
      <c r="M10" s="5">
        <f t="shared" si="7"/>
        <v>24</v>
      </c>
      <c r="N10" s="6">
        <f t="shared" ref="N10:O10" si="15">SUM(D10+G10+K10)/3</f>
        <v>39.66666667</v>
      </c>
      <c r="O10" s="6">
        <f t="shared" si="15"/>
        <v>23.8</v>
      </c>
      <c r="P10" s="5">
        <v>10.0</v>
      </c>
      <c r="Q10" s="5">
        <v>10.0</v>
      </c>
      <c r="R10" s="6">
        <f t="shared" si="6"/>
        <v>43.8</v>
      </c>
      <c r="S10" s="4">
        <f t="shared" si="9"/>
        <v>44</v>
      </c>
      <c r="T10" s="4"/>
      <c r="U10" s="4"/>
      <c r="V10" s="4"/>
      <c r="W10" s="4"/>
      <c r="X10" s="4"/>
      <c r="Y10" s="4"/>
      <c r="Z10" s="4"/>
    </row>
    <row r="11" ht="14.25" customHeight="1">
      <c r="A11" s="7">
        <v>9.0</v>
      </c>
      <c r="B11" s="8" t="s">
        <v>32</v>
      </c>
      <c r="C11" s="9" t="s">
        <v>33</v>
      </c>
      <c r="D11" s="5">
        <v>47.0</v>
      </c>
      <c r="E11" s="5">
        <f t="shared" si="2"/>
        <v>28.2</v>
      </c>
      <c r="F11" s="5">
        <v>29.0</v>
      </c>
      <c r="G11" s="5">
        <v>46.0</v>
      </c>
      <c r="H11" s="5">
        <f t="shared" si="3"/>
        <v>27.6</v>
      </c>
      <c r="I11" s="5">
        <v>28.0</v>
      </c>
      <c r="J11" s="5">
        <v>46.0</v>
      </c>
      <c r="K11" s="5">
        <v>45.0</v>
      </c>
      <c r="L11" s="5">
        <f t="shared" si="4"/>
        <v>27</v>
      </c>
      <c r="M11" s="5">
        <f t="shared" si="7"/>
        <v>27</v>
      </c>
      <c r="N11" s="6">
        <f t="shared" ref="N11:O11" si="16">SUM(D11+G11+K11)/3</f>
        <v>46</v>
      </c>
      <c r="O11" s="6">
        <f t="shared" si="16"/>
        <v>27.6</v>
      </c>
      <c r="P11" s="5">
        <v>10.0</v>
      </c>
      <c r="Q11" s="5">
        <v>10.0</v>
      </c>
      <c r="R11" s="6">
        <f t="shared" si="6"/>
        <v>47.6</v>
      </c>
      <c r="S11" s="4">
        <f t="shared" si="9"/>
        <v>48</v>
      </c>
      <c r="T11" s="4"/>
      <c r="U11" s="4"/>
      <c r="V11" s="4"/>
      <c r="W11" s="4"/>
      <c r="X11" s="4"/>
      <c r="Y11" s="4"/>
      <c r="Z11" s="4"/>
    </row>
    <row r="12" ht="14.25" customHeight="1">
      <c r="A12" s="7">
        <v>10.0</v>
      </c>
      <c r="B12" s="8" t="s">
        <v>34</v>
      </c>
      <c r="C12" s="9" t="s">
        <v>35</v>
      </c>
      <c r="D12" s="5">
        <v>41.0</v>
      </c>
      <c r="E12" s="5">
        <f t="shared" si="2"/>
        <v>24.6</v>
      </c>
      <c r="F12" s="5">
        <v>25.0</v>
      </c>
      <c r="G12" s="5">
        <v>46.0</v>
      </c>
      <c r="H12" s="5">
        <f t="shared" si="3"/>
        <v>27.6</v>
      </c>
      <c r="I12" s="5">
        <v>28.0</v>
      </c>
      <c r="J12" s="5">
        <v>46.0</v>
      </c>
      <c r="K12" s="5">
        <v>46.0</v>
      </c>
      <c r="L12" s="5">
        <f t="shared" si="4"/>
        <v>27.6</v>
      </c>
      <c r="M12" s="5">
        <f t="shared" si="7"/>
        <v>28</v>
      </c>
      <c r="N12" s="6">
        <f t="shared" ref="N12:O12" si="17">SUM(D12+G12+K12)/3</f>
        <v>44.33333333</v>
      </c>
      <c r="O12" s="6">
        <f t="shared" si="17"/>
        <v>26.6</v>
      </c>
      <c r="P12" s="5">
        <v>10.0</v>
      </c>
      <c r="Q12" s="5">
        <v>10.0</v>
      </c>
      <c r="R12" s="6">
        <f t="shared" si="6"/>
        <v>46.6</v>
      </c>
      <c r="S12" s="4">
        <f t="shared" si="9"/>
        <v>47</v>
      </c>
      <c r="T12" s="4"/>
      <c r="U12" s="4"/>
      <c r="V12" s="4"/>
      <c r="W12" s="4"/>
      <c r="X12" s="4"/>
      <c r="Y12" s="4"/>
      <c r="Z12" s="4"/>
    </row>
    <row r="13" ht="14.25" customHeight="1">
      <c r="A13" s="7">
        <v>11.0</v>
      </c>
      <c r="B13" s="8" t="s">
        <v>36</v>
      </c>
      <c r="C13" s="9" t="s">
        <v>37</v>
      </c>
      <c r="D13" s="5">
        <v>38.0</v>
      </c>
      <c r="E13" s="5">
        <f t="shared" si="2"/>
        <v>22.8</v>
      </c>
      <c r="F13" s="5">
        <v>23.0</v>
      </c>
      <c r="G13" s="5">
        <v>37.0</v>
      </c>
      <c r="H13" s="5">
        <f t="shared" si="3"/>
        <v>22.2</v>
      </c>
      <c r="I13" s="5">
        <v>23.0</v>
      </c>
      <c r="J13" s="5">
        <v>37.0</v>
      </c>
      <c r="K13" s="5">
        <v>46.0</v>
      </c>
      <c r="L13" s="5">
        <f t="shared" si="4"/>
        <v>27.6</v>
      </c>
      <c r="M13" s="5">
        <f t="shared" si="7"/>
        <v>28</v>
      </c>
      <c r="N13" s="6">
        <f t="shared" ref="N13:O13" si="18">SUM(D13+G13+K13)/3</f>
        <v>40.33333333</v>
      </c>
      <c r="O13" s="6">
        <f t="shared" si="18"/>
        <v>24.2</v>
      </c>
      <c r="P13" s="5">
        <v>10.0</v>
      </c>
      <c r="Q13" s="5">
        <v>10.0</v>
      </c>
      <c r="R13" s="6">
        <f t="shared" si="6"/>
        <v>44.2</v>
      </c>
      <c r="S13" s="4">
        <f t="shared" si="9"/>
        <v>45</v>
      </c>
      <c r="T13" s="4"/>
      <c r="U13" s="4"/>
      <c r="V13" s="4"/>
      <c r="W13" s="4"/>
      <c r="X13" s="4"/>
      <c r="Y13" s="4"/>
      <c r="Z13" s="4"/>
    </row>
    <row r="14" ht="14.25" customHeight="1">
      <c r="A14" s="7">
        <v>12.0</v>
      </c>
      <c r="B14" s="8" t="s">
        <v>38</v>
      </c>
      <c r="C14" s="9" t="s">
        <v>39</v>
      </c>
      <c r="D14" s="5">
        <v>39.0</v>
      </c>
      <c r="E14" s="5">
        <f t="shared" si="2"/>
        <v>23.4</v>
      </c>
      <c r="F14" s="5">
        <v>24.0</v>
      </c>
      <c r="G14" s="5">
        <v>45.0</v>
      </c>
      <c r="H14" s="5">
        <f t="shared" si="3"/>
        <v>27</v>
      </c>
      <c r="I14" s="5">
        <v>27.0</v>
      </c>
      <c r="J14" s="5">
        <v>45.0</v>
      </c>
      <c r="K14" s="5">
        <v>50.0</v>
      </c>
      <c r="L14" s="5">
        <f t="shared" si="4"/>
        <v>30</v>
      </c>
      <c r="M14" s="5">
        <f t="shared" si="7"/>
        <v>30</v>
      </c>
      <c r="N14" s="6">
        <f t="shared" ref="N14:O14" si="19">SUM(D14+G14+K14)/3</f>
        <v>44.66666667</v>
      </c>
      <c r="O14" s="6">
        <f t="shared" si="19"/>
        <v>26.8</v>
      </c>
      <c r="P14" s="5">
        <v>10.0</v>
      </c>
      <c r="Q14" s="5">
        <v>10.0</v>
      </c>
      <c r="R14" s="6">
        <f t="shared" si="6"/>
        <v>46.8</v>
      </c>
      <c r="S14" s="4">
        <f t="shared" si="9"/>
        <v>47</v>
      </c>
      <c r="T14" s="4"/>
      <c r="U14" s="4"/>
      <c r="V14" s="4"/>
      <c r="W14" s="4"/>
      <c r="X14" s="4"/>
      <c r="Y14" s="4"/>
      <c r="Z14" s="4"/>
    </row>
    <row r="15" ht="14.25" customHeight="1">
      <c r="A15" s="7">
        <v>13.0</v>
      </c>
      <c r="B15" s="8" t="s">
        <v>40</v>
      </c>
      <c r="C15" s="9" t="s">
        <v>41</v>
      </c>
      <c r="D15" s="5">
        <v>28.0</v>
      </c>
      <c r="E15" s="5">
        <f t="shared" si="2"/>
        <v>16.8</v>
      </c>
      <c r="F15" s="5">
        <v>17.0</v>
      </c>
      <c r="G15" s="5">
        <v>15.0</v>
      </c>
      <c r="H15" s="5">
        <f t="shared" si="3"/>
        <v>9</v>
      </c>
      <c r="I15" s="5">
        <v>9.0</v>
      </c>
      <c r="J15" s="5">
        <v>15.0</v>
      </c>
      <c r="K15" s="5">
        <v>21.0</v>
      </c>
      <c r="L15" s="5">
        <f t="shared" si="4"/>
        <v>12.6</v>
      </c>
      <c r="M15" s="5">
        <f t="shared" si="7"/>
        <v>13</v>
      </c>
      <c r="N15" s="6">
        <f t="shared" ref="N15:O15" si="20">SUM(D15+G15+K15)/3</f>
        <v>21.33333333</v>
      </c>
      <c r="O15" s="6">
        <f t="shared" si="20"/>
        <v>12.8</v>
      </c>
      <c r="P15" s="5">
        <v>10.0</v>
      </c>
      <c r="Q15" s="5">
        <v>10.0</v>
      </c>
      <c r="R15" s="6">
        <f t="shared" si="6"/>
        <v>32.8</v>
      </c>
      <c r="S15" s="4">
        <f t="shared" si="9"/>
        <v>33</v>
      </c>
      <c r="T15" s="4"/>
      <c r="U15" s="4"/>
      <c r="V15" s="4"/>
      <c r="W15" s="4"/>
      <c r="X15" s="4"/>
      <c r="Y15" s="4"/>
      <c r="Z15" s="4"/>
    </row>
    <row r="16" ht="14.25" customHeight="1">
      <c r="A16" s="7">
        <v>14.0</v>
      </c>
      <c r="B16" s="8" t="s">
        <v>42</v>
      </c>
      <c r="C16" s="9" t="s">
        <v>43</v>
      </c>
      <c r="D16" s="5">
        <v>19.0</v>
      </c>
      <c r="E16" s="5">
        <f t="shared" si="2"/>
        <v>11.4</v>
      </c>
      <c r="F16" s="5">
        <v>12.0</v>
      </c>
      <c r="G16" s="5">
        <v>21.0</v>
      </c>
      <c r="H16" s="5">
        <f t="shared" si="3"/>
        <v>12.6</v>
      </c>
      <c r="I16" s="5">
        <v>13.0</v>
      </c>
      <c r="J16" s="5">
        <v>21.0</v>
      </c>
      <c r="K16" s="5">
        <v>25.0</v>
      </c>
      <c r="L16" s="5">
        <f t="shared" si="4"/>
        <v>15</v>
      </c>
      <c r="M16" s="5">
        <f t="shared" si="7"/>
        <v>15</v>
      </c>
      <c r="N16" s="6">
        <f t="shared" ref="N16:O16" si="21">SUM(D16+G16+K16)/3</f>
        <v>21.66666667</v>
      </c>
      <c r="O16" s="6">
        <f t="shared" si="21"/>
        <v>13</v>
      </c>
      <c r="P16" s="5">
        <v>10.0</v>
      </c>
      <c r="Q16" s="5">
        <v>10.0</v>
      </c>
      <c r="R16" s="6">
        <f t="shared" si="6"/>
        <v>33</v>
      </c>
      <c r="S16" s="4">
        <f t="shared" si="9"/>
        <v>33</v>
      </c>
      <c r="T16" s="15"/>
      <c r="U16" s="4"/>
      <c r="V16" s="4"/>
      <c r="W16" s="4"/>
      <c r="X16" s="4"/>
      <c r="Y16" s="4"/>
      <c r="Z16" s="4"/>
    </row>
    <row r="17" ht="14.25" customHeight="1">
      <c r="A17" s="7">
        <v>15.0</v>
      </c>
      <c r="B17" s="8" t="s">
        <v>44</v>
      </c>
      <c r="C17" s="9" t="s">
        <v>45</v>
      </c>
      <c r="D17" s="5">
        <v>20.0</v>
      </c>
      <c r="E17" s="5">
        <f t="shared" si="2"/>
        <v>12</v>
      </c>
      <c r="F17" s="5">
        <v>12.0</v>
      </c>
      <c r="G17" s="5">
        <v>35.0</v>
      </c>
      <c r="H17" s="5">
        <f t="shared" si="3"/>
        <v>21</v>
      </c>
      <c r="I17" s="5">
        <v>21.0</v>
      </c>
      <c r="J17" s="5">
        <v>35.0</v>
      </c>
      <c r="K17" s="5">
        <v>27.0</v>
      </c>
      <c r="L17" s="5">
        <f t="shared" si="4"/>
        <v>16.2</v>
      </c>
      <c r="M17" s="5">
        <f t="shared" si="7"/>
        <v>17</v>
      </c>
      <c r="N17" s="6">
        <f t="shared" ref="N17:O17" si="22">SUM(D17+G17+K17)/3</f>
        <v>27.33333333</v>
      </c>
      <c r="O17" s="6">
        <f t="shared" si="22"/>
        <v>16.4</v>
      </c>
      <c r="P17" s="5">
        <v>10.0</v>
      </c>
      <c r="Q17" s="5">
        <v>10.0</v>
      </c>
      <c r="R17" s="6">
        <f t="shared" si="6"/>
        <v>36.4</v>
      </c>
      <c r="S17" s="4">
        <f t="shared" si="9"/>
        <v>37</v>
      </c>
      <c r="T17" s="4"/>
      <c r="U17" s="4"/>
      <c r="V17" s="4"/>
      <c r="W17" s="4"/>
      <c r="X17" s="4"/>
      <c r="Y17" s="4"/>
      <c r="Z17" s="4"/>
    </row>
    <row r="18" ht="14.25" customHeight="1">
      <c r="A18" s="7">
        <v>16.0</v>
      </c>
      <c r="B18" s="8" t="s">
        <v>46</v>
      </c>
      <c r="C18" s="9" t="s">
        <v>47</v>
      </c>
      <c r="D18" s="5">
        <v>42.0</v>
      </c>
      <c r="E18" s="5">
        <f t="shared" si="2"/>
        <v>25.2</v>
      </c>
      <c r="F18" s="5">
        <v>26.0</v>
      </c>
      <c r="G18" s="5">
        <v>47.0</v>
      </c>
      <c r="H18" s="5">
        <f t="shared" si="3"/>
        <v>28.2</v>
      </c>
      <c r="I18" s="5">
        <v>29.0</v>
      </c>
      <c r="J18" s="5">
        <v>47.0</v>
      </c>
      <c r="K18" s="5">
        <v>41.0</v>
      </c>
      <c r="L18" s="5">
        <f t="shared" si="4"/>
        <v>24.6</v>
      </c>
      <c r="M18" s="5">
        <f t="shared" si="7"/>
        <v>25</v>
      </c>
      <c r="N18" s="6">
        <f t="shared" ref="N18:O18" si="23">SUM(D18+G18+K18)/3</f>
        <v>43.33333333</v>
      </c>
      <c r="O18" s="6">
        <f t="shared" si="23"/>
        <v>26</v>
      </c>
      <c r="P18" s="5">
        <v>10.0</v>
      </c>
      <c r="Q18" s="5">
        <v>10.0</v>
      </c>
      <c r="R18" s="6">
        <f t="shared" si="6"/>
        <v>46</v>
      </c>
      <c r="S18" s="4">
        <f t="shared" si="9"/>
        <v>46</v>
      </c>
      <c r="T18" s="4"/>
      <c r="U18" s="4"/>
      <c r="V18" s="4"/>
      <c r="W18" s="4"/>
      <c r="X18" s="4"/>
      <c r="Y18" s="4"/>
      <c r="Z18" s="4"/>
    </row>
    <row r="19" ht="14.25" customHeight="1">
      <c r="A19" s="7">
        <v>17.0</v>
      </c>
      <c r="B19" s="8" t="s">
        <v>48</v>
      </c>
      <c r="C19" s="9" t="s">
        <v>49</v>
      </c>
      <c r="D19" s="5">
        <v>44.0</v>
      </c>
      <c r="E19" s="5">
        <f t="shared" si="2"/>
        <v>26.4</v>
      </c>
      <c r="F19" s="5">
        <v>27.0</v>
      </c>
      <c r="G19" s="5">
        <v>47.0</v>
      </c>
      <c r="H19" s="5">
        <f t="shared" si="3"/>
        <v>28.2</v>
      </c>
      <c r="I19" s="5">
        <v>29.0</v>
      </c>
      <c r="J19" s="5">
        <v>47.0</v>
      </c>
      <c r="K19" s="5">
        <v>46.0</v>
      </c>
      <c r="L19" s="5">
        <f t="shared" si="4"/>
        <v>27.6</v>
      </c>
      <c r="M19" s="5">
        <f t="shared" si="7"/>
        <v>28</v>
      </c>
      <c r="N19" s="6">
        <f t="shared" ref="N19:O19" si="24">SUM(D19+G19+K19)/3</f>
        <v>45.66666667</v>
      </c>
      <c r="O19" s="6">
        <f t="shared" si="24"/>
        <v>27.4</v>
      </c>
      <c r="P19" s="5">
        <v>10.0</v>
      </c>
      <c r="Q19" s="5">
        <v>10.0</v>
      </c>
      <c r="R19" s="6">
        <f t="shared" si="6"/>
        <v>47.4</v>
      </c>
      <c r="S19" s="4">
        <f t="shared" si="9"/>
        <v>48</v>
      </c>
      <c r="T19" s="4"/>
      <c r="U19" s="4"/>
      <c r="V19" s="4"/>
      <c r="W19" s="4"/>
      <c r="X19" s="4"/>
      <c r="Y19" s="4"/>
      <c r="Z19" s="4"/>
    </row>
    <row r="20" ht="14.25" customHeight="1">
      <c r="A20" s="7">
        <v>18.0</v>
      </c>
      <c r="B20" s="8" t="s">
        <v>50</v>
      </c>
      <c r="C20" s="9" t="s">
        <v>51</v>
      </c>
      <c r="D20" s="5">
        <v>36.0</v>
      </c>
      <c r="E20" s="5">
        <f t="shared" si="2"/>
        <v>21.6</v>
      </c>
      <c r="F20" s="5">
        <v>22.0</v>
      </c>
      <c r="G20" s="5">
        <v>49.0</v>
      </c>
      <c r="H20" s="5">
        <f t="shared" si="3"/>
        <v>29.4</v>
      </c>
      <c r="I20" s="5">
        <v>30.0</v>
      </c>
      <c r="J20" s="5">
        <v>49.0</v>
      </c>
      <c r="K20" s="5">
        <v>48.0</v>
      </c>
      <c r="L20" s="5">
        <f t="shared" si="4"/>
        <v>28.8</v>
      </c>
      <c r="M20" s="5">
        <f t="shared" si="7"/>
        <v>29</v>
      </c>
      <c r="N20" s="6">
        <f t="shared" ref="N20:O20" si="25">SUM(D20+G20+K20)/3</f>
        <v>44.33333333</v>
      </c>
      <c r="O20" s="6">
        <f t="shared" si="25"/>
        <v>26.6</v>
      </c>
      <c r="P20" s="5">
        <v>10.0</v>
      </c>
      <c r="Q20" s="5">
        <v>10.0</v>
      </c>
      <c r="R20" s="6">
        <f t="shared" si="6"/>
        <v>46.6</v>
      </c>
      <c r="S20" s="4">
        <f t="shared" si="9"/>
        <v>47</v>
      </c>
      <c r="T20" s="4"/>
      <c r="U20" s="4"/>
      <c r="V20" s="4"/>
      <c r="W20" s="4"/>
      <c r="X20" s="4"/>
      <c r="Y20" s="4"/>
      <c r="Z20" s="4"/>
    </row>
    <row r="21" ht="14.25" customHeight="1">
      <c r="A21" s="7">
        <v>19.0</v>
      </c>
      <c r="B21" s="8" t="s">
        <v>52</v>
      </c>
      <c r="C21" s="9" t="s">
        <v>53</v>
      </c>
      <c r="D21" s="5">
        <v>23.0</v>
      </c>
      <c r="E21" s="5">
        <f t="shared" si="2"/>
        <v>13.8</v>
      </c>
      <c r="F21" s="5">
        <v>14.0</v>
      </c>
      <c r="G21" s="5">
        <v>27.0</v>
      </c>
      <c r="H21" s="5">
        <f t="shared" si="3"/>
        <v>16.2</v>
      </c>
      <c r="I21" s="5">
        <v>17.0</v>
      </c>
      <c r="J21" s="5">
        <v>27.0</v>
      </c>
      <c r="K21" s="5">
        <v>26.0</v>
      </c>
      <c r="L21" s="5">
        <f t="shared" si="4"/>
        <v>15.6</v>
      </c>
      <c r="M21" s="5">
        <f t="shared" si="7"/>
        <v>16</v>
      </c>
      <c r="N21" s="6">
        <f t="shared" ref="N21:O21" si="26">SUM(D21+G21+K21)/3</f>
        <v>25.33333333</v>
      </c>
      <c r="O21" s="6">
        <f t="shared" si="26"/>
        <v>15.2</v>
      </c>
      <c r="P21" s="5">
        <v>10.0</v>
      </c>
      <c r="Q21" s="5">
        <v>10.0</v>
      </c>
      <c r="R21" s="6">
        <f t="shared" si="6"/>
        <v>35.2</v>
      </c>
      <c r="S21" s="4">
        <f t="shared" si="9"/>
        <v>36</v>
      </c>
      <c r="T21" s="4"/>
      <c r="U21" s="4"/>
      <c r="V21" s="4"/>
      <c r="W21" s="4"/>
      <c r="X21" s="4"/>
      <c r="Y21" s="4"/>
      <c r="Z21" s="4"/>
    </row>
    <row r="22" ht="14.25" customHeight="1">
      <c r="A22" s="7">
        <v>20.0</v>
      </c>
      <c r="B22" s="8" t="s">
        <v>54</v>
      </c>
      <c r="C22" s="9" t="s">
        <v>55</v>
      </c>
      <c r="D22" s="5">
        <v>35.0</v>
      </c>
      <c r="E22" s="5">
        <f t="shared" si="2"/>
        <v>21</v>
      </c>
      <c r="F22" s="5">
        <v>21.0</v>
      </c>
      <c r="G22" s="5">
        <v>28.0</v>
      </c>
      <c r="H22" s="5">
        <f t="shared" si="3"/>
        <v>16.8</v>
      </c>
      <c r="I22" s="5">
        <v>17.0</v>
      </c>
      <c r="J22" s="5">
        <v>28.0</v>
      </c>
      <c r="K22" s="5">
        <v>34.0</v>
      </c>
      <c r="L22" s="5">
        <f t="shared" si="4"/>
        <v>20.4</v>
      </c>
      <c r="M22" s="5">
        <f t="shared" si="7"/>
        <v>21</v>
      </c>
      <c r="N22" s="6">
        <f t="shared" ref="N22:O22" si="27">SUM(D22+G22+K22)/3</f>
        <v>32.33333333</v>
      </c>
      <c r="O22" s="6">
        <f t="shared" si="27"/>
        <v>19.4</v>
      </c>
      <c r="P22" s="5">
        <v>10.0</v>
      </c>
      <c r="Q22" s="5">
        <v>10.0</v>
      </c>
      <c r="R22" s="6">
        <f t="shared" si="6"/>
        <v>39.4</v>
      </c>
      <c r="S22" s="4">
        <f t="shared" si="9"/>
        <v>40</v>
      </c>
      <c r="T22" s="4"/>
      <c r="U22" s="4"/>
      <c r="V22" s="4"/>
      <c r="W22" s="4"/>
      <c r="X22" s="4"/>
      <c r="Y22" s="4"/>
      <c r="Z22" s="4"/>
    </row>
    <row r="23" ht="14.25" customHeight="1">
      <c r="A23" s="7">
        <v>21.0</v>
      </c>
      <c r="B23" s="8" t="s">
        <v>56</v>
      </c>
      <c r="C23" s="9" t="s">
        <v>57</v>
      </c>
      <c r="D23" s="5">
        <v>45.0</v>
      </c>
      <c r="E23" s="5">
        <f t="shared" si="2"/>
        <v>27</v>
      </c>
      <c r="F23" s="5">
        <v>27.0</v>
      </c>
      <c r="G23" s="5">
        <v>38.0</v>
      </c>
      <c r="H23" s="5">
        <f t="shared" si="3"/>
        <v>22.8</v>
      </c>
      <c r="I23" s="5">
        <v>23.0</v>
      </c>
      <c r="J23" s="5">
        <v>38.0</v>
      </c>
      <c r="K23" s="5">
        <v>50.0</v>
      </c>
      <c r="L23" s="5">
        <f t="shared" si="4"/>
        <v>30</v>
      </c>
      <c r="M23" s="5">
        <f t="shared" si="7"/>
        <v>30</v>
      </c>
      <c r="N23" s="6">
        <f t="shared" ref="N23:O23" si="28">SUM(D23+G23+K23)/3</f>
        <v>44.33333333</v>
      </c>
      <c r="O23" s="6">
        <f t="shared" si="28"/>
        <v>26.6</v>
      </c>
      <c r="P23" s="5">
        <v>10.0</v>
      </c>
      <c r="Q23" s="5">
        <v>10.0</v>
      </c>
      <c r="R23" s="6">
        <f t="shared" si="6"/>
        <v>46.6</v>
      </c>
      <c r="S23" s="4">
        <f t="shared" si="9"/>
        <v>47</v>
      </c>
      <c r="T23" s="4"/>
      <c r="U23" s="4"/>
      <c r="V23" s="4"/>
      <c r="W23" s="4"/>
      <c r="X23" s="4"/>
      <c r="Y23" s="4"/>
      <c r="Z23" s="4"/>
    </row>
    <row r="24" ht="14.25" customHeight="1">
      <c r="A24" s="7">
        <v>22.0</v>
      </c>
      <c r="B24" s="8" t="s">
        <v>58</v>
      </c>
      <c r="C24" s="9" t="s">
        <v>59</v>
      </c>
      <c r="D24" s="5">
        <v>40.0</v>
      </c>
      <c r="E24" s="5">
        <f t="shared" si="2"/>
        <v>24</v>
      </c>
      <c r="F24" s="5">
        <v>24.0</v>
      </c>
      <c r="G24" s="5">
        <v>41.0</v>
      </c>
      <c r="H24" s="5">
        <f t="shared" si="3"/>
        <v>24.6</v>
      </c>
      <c r="I24" s="5">
        <v>25.0</v>
      </c>
      <c r="J24" s="5">
        <v>41.0</v>
      </c>
      <c r="K24" s="5">
        <v>50.0</v>
      </c>
      <c r="L24" s="5">
        <f t="shared" si="4"/>
        <v>30</v>
      </c>
      <c r="M24" s="5">
        <f t="shared" si="7"/>
        <v>30</v>
      </c>
      <c r="N24" s="6">
        <f t="shared" ref="N24:O24" si="29">SUM(D24+G24+K24)/3</f>
        <v>43.66666667</v>
      </c>
      <c r="O24" s="6">
        <f t="shared" si="29"/>
        <v>26.2</v>
      </c>
      <c r="P24" s="5">
        <v>10.0</v>
      </c>
      <c r="Q24" s="5">
        <v>10.0</v>
      </c>
      <c r="R24" s="6">
        <f t="shared" si="6"/>
        <v>46.2</v>
      </c>
      <c r="S24" s="4">
        <f t="shared" si="9"/>
        <v>47</v>
      </c>
      <c r="T24" s="4"/>
      <c r="U24" s="4"/>
      <c r="V24" s="4"/>
      <c r="W24" s="4"/>
      <c r="X24" s="4"/>
      <c r="Y24" s="4"/>
      <c r="Z24" s="4"/>
    </row>
    <row r="25" ht="14.25" customHeight="1">
      <c r="A25" s="7">
        <v>23.0</v>
      </c>
      <c r="B25" s="8" t="s">
        <v>60</v>
      </c>
      <c r="C25" s="9" t="s">
        <v>61</v>
      </c>
      <c r="D25" s="5">
        <v>50.0</v>
      </c>
      <c r="E25" s="5">
        <f t="shared" si="2"/>
        <v>30</v>
      </c>
      <c r="F25" s="5">
        <v>30.0</v>
      </c>
      <c r="G25" s="5">
        <v>50.0</v>
      </c>
      <c r="H25" s="5">
        <f t="shared" si="3"/>
        <v>30</v>
      </c>
      <c r="I25" s="5">
        <v>30.0</v>
      </c>
      <c r="J25" s="5">
        <v>50.0</v>
      </c>
      <c r="K25" s="5">
        <v>50.0</v>
      </c>
      <c r="L25" s="5">
        <f t="shared" si="4"/>
        <v>30</v>
      </c>
      <c r="M25" s="5">
        <f t="shared" si="7"/>
        <v>30</v>
      </c>
      <c r="N25" s="6">
        <f t="shared" ref="N25:O25" si="30">SUM(D25+G25+K25)/3</f>
        <v>50</v>
      </c>
      <c r="O25" s="6">
        <f t="shared" si="30"/>
        <v>30</v>
      </c>
      <c r="P25" s="5">
        <v>10.0</v>
      </c>
      <c r="Q25" s="5">
        <v>10.0</v>
      </c>
      <c r="R25" s="6">
        <f t="shared" si="6"/>
        <v>50</v>
      </c>
      <c r="S25" s="4">
        <f t="shared" si="9"/>
        <v>50</v>
      </c>
      <c r="T25" s="4"/>
      <c r="U25" s="4"/>
      <c r="V25" s="4"/>
      <c r="W25" s="4"/>
      <c r="X25" s="4"/>
      <c r="Y25" s="4"/>
      <c r="Z25" s="4"/>
    </row>
    <row r="26" ht="14.25" customHeight="1">
      <c r="A26" s="7">
        <v>24.0</v>
      </c>
      <c r="B26" s="8" t="s">
        <v>62</v>
      </c>
      <c r="C26" s="9" t="s">
        <v>63</v>
      </c>
      <c r="D26" s="5">
        <v>43.0</v>
      </c>
      <c r="E26" s="5">
        <f t="shared" si="2"/>
        <v>25.8</v>
      </c>
      <c r="F26" s="5">
        <v>26.0</v>
      </c>
      <c r="G26" s="5">
        <v>26.0</v>
      </c>
      <c r="H26" s="5">
        <f t="shared" si="3"/>
        <v>15.6</v>
      </c>
      <c r="I26" s="5">
        <v>16.0</v>
      </c>
      <c r="J26" s="5">
        <v>26.0</v>
      </c>
      <c r="K26" s="5">
        <v>42.0</v>
      </c>
      <c r="L26" s="5">
        <f t="shared" si="4"/>
        <v>25.2</v>
      </c>
      <c r="M26" s="5">
        <f t="shared" si="7"/>
        <v>26</v>
      </c>
      <c r="N26" s="6">
        <f t="shared" ref="N26:O26" si="31">SUM(D26+G26+K26)/3</f>
        <v>37</v>
      </c>
      <c r="O26" s="6">
        <f t="shared" si="31"/>
        <v>22.2</v>
      </c>
      <c r="P26" s="5">
        <v>10.0</v>
      </c>
      <c r="Q26" s="5">
        <v>10.0</v>
      </c>
      <c r="R26" s="6">
        <f t="shared" si="6"/>
        <v>42.2</v>
      </c>
      <c r="S26" s="4">
        <f t="shared" si="9"/>
        <v>43</v>
      </c>
      <c r="T26" s="4"/>
      <c r="U26" s="4"/>
      <c r="V26" s="4"/>
      <c r="W26" s="4"/>
      <c r="X26" s="4"/>
      <c r="Y26" s="4"/>
      <c r="Z26" s="4"/>
    </row>
    <row r="27" ht="14.25" customHeight="1">
      <c r="A27" s="7">
        <v>25.0</v>
      </c>
      <c r="B27" s="8" t="s">
        <v>64</v>
      </c>
      <c r="C27" s="9" t="s">
        <v>65</v>
      </c>
      <c r="D27" s="5">
        <v>22.0</v>
      </c>
      <c r="E27" s="5">
        <f t="shared" si="2"/>
        <v>13.2</v>
      </c>
      <c r="F27" s="5">
        <v>14.0</v>
      </c>
      <c r="G27" s="5">
        <v>45.0</v>
      </c>
      <c r="H27" s="5">
        <f t="shared" si="3"/>
        <v>27</v>
      </c>
      <c r="I27" s="5">
        <v>27.0</v>
      </c>
      <c r="J27" s="5">
        <v>45.0</v>
      </c>
      <c r="K27" s="5">
        <v>50.0</v>
      </c>
      <c r="L27" s="5">
        <f t="shared" si="4"/>
        <v>30</v>
      </c>
      <c r="M27" s="5">
        <f t="shared" si="7"/>
        <v>30</v>
      </c>
      <c r="N27" s="6">
        <f t="shared" ref="N27:O27" si="32">SUM(D27+G27+K27)/3</f>
        <v>39</v>
      </c>
      <c r="O27" s="6">
        <f t="shared" si="32"/>
        <v>23.4</v>
      </c>
      <c r="P27" s="5">
        <v>10.0</v>
      </c>
      <c r="Q27" s="5">
        <v>10.0</v>
      </c>
      <c r="R27" s="6">
        <f t="shared" si="6"/>
        <v>43.4</v>
      </c>
      <c r="S27" s="4">
        <f t="shared" si="9"/>
        <v>44</v>
      </c>
      <c r="T27" s="4"/>
      <c r="U27" s="4"/>
      <c r="V27" s="4"/>
      <c r="W27" s="4"/>
      <c r="X27" s="4"/>
      <c r="Y27" s="4"/>
      <c r="Z27" s="4"/>
    </row>
    <row r="28" ht="14.25" customHeight="1">
      <c r="A28" s="7">
        <v>26.0</v>
      </c>
      <c r="B28" s="8" t="s">
        <v>66</v>
      </c>
      <c r="C28" s="9" t="s">
        <v>67</v>
      </c>
      <c r="D28" s="5">
        <v>30.0</v>
      </c>
      <c r="E28" s="5">
        <f t="shared" si="2"/>
        <v>18</v>
      </c>
      <c r="F28" s="5">
        <v>18.0</v>
      </c>
      <c r="G28" s="5">
        <v>8.0</v>
      </c>
      <c r="H28" s="5">
        <f t="shared" si="3"/>
        <v>4.8</v>
      </c>
      <c r="I28" s="5">
        <v>5.0</v>
      </c>
      <c r="J28" s="5">
        <v>8.0</v>
      </c>
      <c r="K28" s="5">
        <v>23.0</v>
      </c>
      <c r="L28" s="5">
        <f t="shared" si="4"/>
        <v>13.8</v>
      </c>
      <c r="M28" s="5">
        <f t="shared" si="7"/>
        <v>14</v>
      </c>
      <c r="N28" s="6">
        <f t="shared" ref="N28:O28" si="33">SUM(D28+G28+K28)/3</f>
        <v>20.33333333</v>
      </c>
      <c r="O28" s="6">
        <f t="shared" si="33"/>
        <v>12.2</v>
      </c>
      <c r="P28" s="5">
        <v>10.0</v>
      </c>
      <c r="Q28" s="5">
        <v>10.0</v>
      </c>
      <c r="R28" s="6">
        <f t="shared" si="6"/>
        <v>32.2</v>
      </c>
      <c r="S28" s="4">
        <f t="shared" si="9"/>
        <v>33</v>
      </c>
      <c r="T28" s="4"/>
      <c r="U28" s="4"/>
      <c r="V28" s="4"/>
      <c r="W28" s="4"/>
      <c r="X28" s="4"/>
      <c r="Y28" s="4"/>
      <c r="Z28" s="4"/>
    </row>
    <row r="29" ht="14.25" customHeight="1">
      <c r="A29" s="7">
        <v>27.0</v>
      </c>
      <c r="B29" s="8" t="s">
        <v>68</v>
      </c>
      <c r="C29" s="9" t="s">
        <v>69</v>
      </c>
      <c r="D29" s="5">
        <v>31.0</v>
      </c>
      <c r="E29" s="5">
        <f t="shared" si="2"/>
        <v>18.6</v>
      </c>
      <c r="F29" s="5">
        <v>19.0</v>
      </c>
      <c r="G29" s="5">
        <v>41.0</v>
      </c>
      <c r="H29" s="5">
        <f t="shared" si="3"/>
        <v>24.6</v>
      </c>
      <c r="I29" s="5">
        <v>25.0</v>
      </c>
      <c r="J29" s="5">
        <v>41.0</v>
      </c>
      <c r="K29" s="5">
        <v>39.0</v>
      </c>
      <c r="L29" s="5">
        <f t="shared" si="4"/>
        <v>23.4</v>
      </c>
      <c r="M29" s="5">
        <f t="shared" si="7"/>
        <v>24</v>
      </c>
      <c r="N29" s="6">
        <f t="shared" ref="N29:O29" si="34">SUM(D29+G29+K29)/3</f>
        <v>37</v>
      </c>
      <c r="O29" s="6">
        <f t="shared" si="34"/>
        <v>22.2</v>
      </c>
      <c r="P29" s="5">
        <v>10.0</v>
      </c>
      <c r="Q29" s="5">
        <v>10.0</v>
      </c>
      <c r="R29" s="6">
        <f t="shared" si="6"/>
        <v>42.2</v>
      </c>
      <c r="S29" s="4">
        <f t="shared" si="9"/>
        <v>43</v>
      </c>
      <c r="T29" s="4"/>
      <c r="U29" s="4"/>
      <c r="V29" s="4"/>
      <c r="W29" s="4"/>
      <c r="X29" s="4"/>
      <c r="Y29" s="4"/>
      <c r="Z29" s="4"/>
    </row>
    <row r="30" ht="14.25" customHeight="1">
      <c r="A30" s="7">
        <v>28.0</v>
      </c>
      <c r="B30" s="8" t="s">
        <v>70</v>
      </c>
      <c r="C30" s="9" t="s">
        <v>71</v>
      </c>
      <c r="D30" s="5">
        <v>50.0</v>
      </c>
      <c r="E30" s="5">
        <f t="shared" si="2"/>
        <v>30</v>
      </c>
      <c r="F30" s="5">
        <v>30.0</v>
      </c>
      <c r="G30" s="5">
        <v>50.0</v>
      </c>
      <c r="H30" s="5">
        <f t="shared" si="3"/>
        <v>30</v>
      </c>
      <c r="I30" s="5">
        <v>30.0</v>
      </c>
      <c r="J30" s="5">
        <v>50.0</v>
      </c>
      <c r="K30" s="5">
        <v>50.0</v>
      </c>
      <c r="L30" s="5">
        <f t="shared" si="4"/>
        <v>30</v>
      </c>
      <c r="M30" s="5">
        <f t="shared" si="7"/>
        <v>30</v>
      </c>
      <c r="N30" s="6">
        <f t="shared" ref="N30:O30" si="35">SUM(D30+G30+K30)/3</f>
        <v>50</v>
      </c>
      <c r="O30" s="6">
        <f t="shared" si="35"/>
        <v>30</v>
      </c>
      <c r="P30" s="5">
        <v>10.0</v>
      </c>
      <c r="Q30" s="5">
        <v>10.0</v>
      </c>
      <c r="R30" s="6">
        <f t="shared" si="6"/>
        <v>50</v>
      </c>
      <c r="S30" s="4">
        <f t="shared" si="9"/>
        <v>50</v>
      </c>
      <c r="T30" s="4"/>
      <c r="U30" s="4"/>
      <c r="V30" s="4"/>
      <c r="W30" s="4"/>
      <c r="X30" s="4"/>
      <c r="Y30" s="4"/>
      <c r="Z30" s="4"/>
    </row>
    <row r="31" ht="14.25" customHeight="1">
      <c r="A31" s="10">
        <v>29.0</v>
      </c>
      <c r="B31" s="11" t="s">
        <v>72</v>
      </c>
      <c r="C31" s="12" t="s">
        <v>73</v>
      </c>
      <c r="D31" s="13"/>
      <c r="E31" s="13">
        <f t="shared" si="2"/>
        <v>0</v>
      </c>
      <c r="F31" s="5">
        <v>0.0</v>
      </c>
      <c r="G31" s="13"/>
      <c r="H31" s="13">
        <f t="shared" si="3"/>
        <v>0</v>
      </c>
      <c r="I31" s="5">
        <v>0.0</v>
      </c>
      <c r="J31" s="5"/>
      <c r="K31" s="13"/>
      <c r="L31" s="5">
        <f t="shared" si="4"/>
        <v>0</v>
      </c>
      <c r="M31" s="5">
        <f t="shared" si="7"/>
        <v>0</v>
      </c>
      <c r="N31" s="14">
        <f t="shared" ref="N31:O31" si="36">SUM(D31+G31+K31)/3</f>
        <v>0</v>
      </c>
      <c r="O31" s="14">
        <f t="shared" si="36"/>
        <v>0</v>
      </c>
      <c r="P31" s="5">
        <v>0.0</v>
      </c>
      <c r="Q31" s="13">
        <v>0.0</v>
      </c>
      <c r="R31" s="6">
        <f t="shared" si="6"/>
        <v>0</v>
      </c>
      <c r="S31" s="4">
        <f t="shared" si="9"/>
        <v>0</v>
      </c>
      <c r="T31" s="4"/>
      <c r="U31" s="4"/>
      <c r="V31" s="4"/>
      <c r="W31" s="4"/>
      <c r="X31" s="4"/>
      <c r="Y31" s="4"/>
      <c r="Z31" s="4"/>
    </row>
    <row r="32" ht="14.25" customHeight="1">
      <c r="A32" s="7">
        <v>30.0</v>
      </c>
      <c r="B32" s="8" t="s">
        <v>74</v>
      </c>
      <c r="C32" s="9" t="s">
        <v>75</v>
      </c>
      <c r="D32" s="5">
        <v>32.0</v>
      </c>
      <c r="E32" s="5">
        <f t="shared" si="2"/>
        <v>19.2</v>
      </c>
      <c r="F32" s="5">
        <v>20.0</v>
      </c>
      <c r="G32" s="5">
        <v>33.0</v>
      </c>
      <c r="H32" s="5">
        <f t="shared" si="3"/>
        <v>19.8</v>
      </c>
      <c r="I32" s="5">
        <v>20.0</v>
      </c>
      <c r="J32" s="5">
        <v>33.0</v>
      </c>
      <c r="K32" s="5">
        <v>41.0</v>
      </c>
      <c r="L32" s="5">
        <f t="shared" si="4"/>
        <v>24.6</v>
      </c>
      <c r="M32" s="5">
        <f t="shared" si="7"/>
        <v>25</v>
      </c>
      <c r="N32" s="6">
        <f t="shared" ref="N32:O32" si="37">SUM(D32+G32+K32)/3</f>
        <v>35.33333333</v>
      </c>
      <c r="O32" s="6">
        <f t="shared" si="37"/>
        <v>21.2</v>
      </c>
      <c r="P32" s="5">
        <v>10.0</v>
      </c>
      <c r="Q32" s="5">
        <v>10.0</v>
      </c>
      <c r="R32" s="6">
        <f t="shared" si="6"/>
        <v>41.2</v>
      </c>
      <c r="S32" s="4">
        <f t="shared" si="9"/>
        <v>42</v>
      </c>
      <c r="T32" s="4"/>
      <c r="U32" s="4"/>
      <c r="V32" s="4"/>
      <c r="W32" s="4"/>
      <c r="X32" s="4"/>
      <c r="Y32" s="4"/>
      <c r="Z32" s="4"/>
    </row>
    <row r="33" ht="14.25" customHeight="1">
      <c r="A33" s="7">
        <v>31.0</v>
      </c>
      <c r="B33" s="8" t="s">
        <v>76</v>
      </c>
      <c r="C33" s="9" t="s">
        <v>77</v>
      </c>
      <c r="D33" s="5">
        <v>46.0</v>
      </c>
      <c r="E33" s="5">
        <f t="shared" si="2"/>
        <v>27.6</v>
      </c>
      <c r="F33" s="5">
        <v>28.0</v>
      </c>
      <c r="G33" s="5">
        <v>50.0</v>
      </c>
      <c r="H33" s="5">
        <f t="shared" si="3"/>
        <v>30</v>
      </c>
      <c r="I33" s="5">
        <v>30.0</v>
      </c>
      <c r="J33" s="5">
        <v>50.0</v>
      </c>
      <c r="K33" s="5">
        <v>29.0</v>
      </c>
      <c r="L33" s="5">
        <f t="shared" si="4"/>
        <v>17.4</v>
      </c>
      <c r="M33" s="5">
        <f t="shared" si="7"/>
        <v>18</v>
      </c>
      <c r="N33" s="6">
        <f t="shared" ref="N33:O33" si="38">SUM(D33+G33+K33)/3</f>
        <v>41.66666667</v>
      </c>
      <c r="O33" s="6">
        <f t="shared" si="38"/>
        <v>25</v>
      </c>
      <c r="P33" s="5">
        <v>10.0</v>
      </c>
      <c r="Q33" s="5">
        <v>10.0</v>
      </c>
      <c r="R33" s="6">
        <f t="shared" si="6"/>
        <v>45</v>
      </c>
      <c r="S33" s="4">
        <f t="shared" si="9"/>
        <v>45</v>
      </c>
      <c r="T33" s="4"/>
      <c r="U33" s="4"/>
      <c r="V33" s="4"/>
      <c r="W33" s="4"/>
      <c r="X33" s="4"/>
      <c r="Y33" s="4"/>
      <c r="Z33" s="4"/>
    </row>
    <row r="34" ht="14.25" customHeight="1">
      <c r="A34" s="7">
        <v>32.0</v>
      </c>
      <c r="B34" s="8" t="s">
        <v>78</v>
      </c>
      <c r="C34" s="9" t="s">
        <v>79</v>
      </c>
      <c r="D34" s="5">
        <v>23.0</v>
      </c>
      <c r="E34" s="5">
        <f t="shared" si="2"/>
        <v>13.8</v>
      </c>
      <c r="F34" s="5">
        <v>14.0</v>
      </c>
      <c r="G34" s="5">
        <v>36.0</v>
      </c>
      <c r="H34" s="5">
        <f t="shared" si="3"/>
        <v>21.6</v>
      </c>
      <c r="I34" s="5">
        <v>22.0</v>
      </c>
      <c r="J34" s="5">
        <v>36.0</v>
      </c>
      <c r="K34" s="5">
        <v>33.0</v>
      </c>
      <c r="L34" s="5">
        <f t="shared" si="4"/>
        <v>19.8</v>
      </c>
      <c r="M34" s="5">
        <f t="shared" si="7"/>
        <v>20</v>
      </c>
      <c r="N34" s="6">
        <f t="shared" ref="N34:O34" si="39">SUM(D34+G34+K34)/3</f>
        <v>30.66666667</v>
      </c>
      <c r="O34" s="6">
        <f t="shared" si="39"/>
        <v>18.4</v>
      </c>
      <c r="P34" s="5">
        <v>10.0</v>
      </c>
      <c r="Q34" s="5">
        <v>10.0</v>
      </c>
      <c r="R34" s="6">
        <f t="shared" si="6"/>
        <v>38.4</v>
      </c>
      <c r="S34" s="4">
        <f t="shared" si="9"/>
        <v>39</v>
      </c>
      <c r="T34" s="4"/>
      <c r="U34" s="4"/>
      <c r="V34" s="4"/>
      <c r="W34" s="4"/>
      <c r="X34" s="4"/>
      <c r="Y34" s="4"/>
      <c r="Z34" s="4"/>
    </row>
    <row r="35" ht="14.25" customHeight="1">
      <c r="A35" s="7">
        <v>33.0</v>
      </c>
      <c r="B35" s="8" t="s">
        <v>80</v>
      </c>
      <c r="C35" s="9" t="s">
        <v>81</v>
      </c>
      <c r="D35" s="5">
        <v>20.0</v>
      </c>
      <c r="E35" s="5">
        <f t="shared" si="2"/>
        <v>12</v>
      </c>
      <c r="F35" s="5">
        <v>12.0</v>
      </c>
      <c r="G35" s="5">
        <v>24.0</v>
      </c>
      <c r="H35" s="5">
        <f t="shared" si="3"/>
        <v>14.4</v>
      </c>
      <c r="I35" s="5">
        <v>15.0</v>
      </c>
      <c r="J35" s="5">
        <v>24.0</v>
      </c>
      <c r="K35" s="5">
        <v>26.0</v>
      </c>
      <c r="L35" s="5">
        <f t="shared" si="4"/>
        <v>15.6</v>
      </c>
      <c r="M35" s="5">
        <f t="shared" si="7"/>
        <v>16</v>
      </c>
      <c r="N35" s="6">
        <f t="shared" ref="N35:O35" si="40">SUM(D35+G35+K35)/3</f>
        <v>23.33333333</v>
      </c>
      <c r="O35" s="6">
        <f t="shared" si="40"/>
        <v>14</v>
      </c>
      <c r="P35" s="5">
        <v>10.0</v>
      </c>
      <c r="Q35" s="5">
        <v>10.0</v>
      </c>
      <c r="R35" s="6">
        <f t="shared" si="6"/>
        <v>34</v>
      </c>
      <c r="S35" s="4">
        <f t="shared" si="9"/>
        <v>34</v>
      </c>
      <c r="T35" s="4"/>
      <c r="U35" s="4"/>
      <c r="V35" s="4"/>
      <c r="W35" s="4"/>
      <c r="X35" s="4"/>
      <c r="Y35" s="4"/>
      <c r="Z35" s="4"/>
    </row>
    <row r="36" ht="14.25" customHeight="1">
      <c r="A36" s="7">
        <v>34.0</v>
      </c>
      <c r="B36" s="8" t="s">
        <v>82</v>
      </c>
      <c r="C36" s="9" t="s">
        <v>83</v>
      </c>
      <c r="D36" s="5">
        <v>22.0</v>
      </c>
      <c r="E36" s="5">
        <f t="shared" si="2"/>
        <v>13.2</v>
      </c>
      <c r="F36" s="5">
        <v>14.0</v>
      </c>
      <c r="G36" s="5">
        <v>50.0</v>
      </c>
      <c r="H36" s="5">
        <f t="shared" si="3"/>
        <v>30</v>
      </c>
      <c r="I36" s="5">
        <v>30.0</v>
      </c>
      <c r="J36" s="5">
        <v>50.0</v>
      </c>
      <c r="K36" s="5">
        <v>48.0</v>
      </c>
      <c r="L36" s="5">
        <f t="shared" si="4"/>
        <v>28.8</v>
      </c>
      <c r="M36" s="5">
        <f t="shared" si="7"/>
        <v>29</v>
      </c>
      <c r="N36" s="6">
        <f t="shared" ref="N36:O36" si="41">SUM(D36+G36+K36)/3</f>
        <v>40</v>
      </c>
      <c r="O36" s="6">
        <f t="shared" si="41"/>
        <v>24</v>
      </c>
      <c r="P36" s="5">
        <v>10.0</v>
      </c>
      <c r="Q36" s="5">
        <v>10.0</v>
      </c>
      <c r="R36" s="6">
        <f t="shared" si="6"/>
        <v>44</v>
      </c>
      <c r="S36" s="4">
        <f t="shared" si="9"/>
        <v>44</v>
      </c>
      <c r="T36" s="4"/>
      <c r="U36" s="4"/>
      <c r="V36" s="4"/>
      <c r="W36" s="4"/>
      <c r="X36" s="4"/>
      <c r="Y36" s="4"/>
      <c r="Z36" s="4"/>
    </row>
    <row r="37" ht="14.25" customHeight="1">
      <c r="A37" s="7">
        <v>35.0</v>
      </c>
      <c r="B37" s="8" t="s">
        <v>84</v>
      </c>
      <c r="C37" s="9" t="s">
        <v>85</v>
      </c>
      <c r="D37" s="5">
        <v>34.0</v>
      </c>
      <c r="E37" s="5">
        <f t="shared" si="2"/>
        <v>20.4</v>
      </c>
      <c r="F37" s="5">
        <v>21.0</v>
      </c>
      <c r="G37" s="5">
        <v>47.0</v>
      </c>
      <c r="H37" s="5">
        <f t="shared" si="3"/>
        <v>28.2</v>
      </c>
      <c r="I37" s="5">
        <v>29.0</v>
      </c>
      <c r="J37" s="5">
        <v>47.0</v>
      </c>
      <c r="K37" s="5">
        <v>32.0</v>
      </c>
      <c r="L37" s="5">
        <f t="shared" si="4"/>
        <v>19.2</v>
      </c>
      <c r="M37" s="5">
        <f t="shared" si="7"/>
        <v>20</v>
      </c>
      <c r="N37" s="6">
        <f t="shared" ref="N37:O37" si="42">SUM(D37+G37+K37)/3</f>
        <v>37.66666667</v>
      </c>
      <c r="O37" s="6">
        <f t="shared" si="42"/>
        <v>22.6</v>
      </c>
      <c r="P37" s="5">
        <v>10.0</v>
      </c>
      <c r="Q37" s="5">
        <v>10.0</v>
      </c>
      <c r="R37" s="6">
        <f t="shared" si="6"/>
        <v>42.6</v>
      </c>
      <c r="S37" s="4">
        <f t="shared" si="9"/>
        <v>43</v>
      </c>
      <c r="T37" s="4"/>
      <c r="U37" s="4"/>
      <c r="V37" s="4"/>
      <c r="W37" s="4"/>
      <c r="X37" s="4"/>
      <c r="Y37" s="4"/>
      <c r="Z37" s="4"/>
    </row>
    <row r="38" ht="14.25" customHeight="1">
      <c r="A38" s="7">
        <v>36.0</v>
      </c>
      <c r="B38" s="8" t="s">
        <v>86</v>
      </c>
      <c r="C38" s="9" t="s">
        <v>87</v>
      </c>
      <c r="D38" s="5">
        <v>47.0</v>
      </c>
      <c r="E38" s="5">
        <f t="shared" si="2"/>
        <v>28.2</v>
      </c>
      <c r="F38" s="5">
        <v>29.0</v>
      </c>
      <c r="G38" s="5">
        <v>50.0</v>
      </c>
      <c r="H38" s="5">
        <f t="shared" si="3"/>
        <v>30</v>
      </c>
      <c r="I38" s="5">
        <v>30.0</v>
      </c>
      <c r="J38" s="5">
        <v>50.0</v>
      </c>
      <c r="K38" s="5">
        <v>50.0</v>
      </c>
      <c r="L38" s="5">
        <f t="shared" si="4"/>
        <v>30</v>
      </c>
      <c r="M38" s="5">
        <f t="shared" si="7"/>
        <v>30</v>
      </c>
      <c r="N38" s="6">
        <f t="shared" ref="N38:O38" si="43">SUM(D38+G38+K38)/3</f>
        <v>49</v>
      </c>
      <c r="O38" s="6">
        <f t="shared" si="43"/>
        <v>29.4</v>
      </c>
      <c r="P38" s="5">
        <v>10.0</v>
      </c>
      <c r="Q38" s="5">
        <v>10.0</v>
      </c>
      <c r="R38" s="6">
        <f t="shared" si="6"/>
        <v>49.4</v>
      </c>
      <c r="S38" s="4">
        <f t="shared" si="9"/>
        <v>50</v>
      </c>
      <c r="T38" s="4"/>
      <c r="U38" s="4"/>
      <c r="V38" s="4"/>
      <c r="W38" s="4"/>
      <c r="X38" s="4"/>
      <c r="Y38" s="4"/>
      <c r="Z38" s="4"/>
    </row>
    <row r="39" ht="14.25" customHeight="1">
      <c r="A39" s="7">
        <v>37.0</v>
      </c>
      <c r="B39" s="8" t="s">
        <v>88</v>
      </c>
      <c r="C39" s="9" t="s">
        <v>89</v>
      </c>
      <c r="D39" s="5">
        <v>40.0</v>
      </c>
      <c r="E39" s="5">
        <f t="shared" si="2"/>
        <v>24</v>
      </c>
      <c r="F39" s="5">
        <v>24.0</v>
      </c>
      <c r="G39" s="5">
        <v>50.0</v>
      </c>
      <c r="H39" s="5">
        <f t="shared" si="3"/>
        <v>30</v>
      </c>
      <c r="I39" s="5">
        <v>30.0</v>
      </c>
      <c r="J39" s="5">
        <v>50.0</v>
      </c>
      <c r="K39" s="5">
        <v>50.0</v>
      </c>
      <c r="L39" s="5">
        <f t="shared" si="4"/>
        <v>30</v>
      </c>
      <c r="M39" s="5">
        <f t="shared" si="7"/>
        <v>30</v>
      </c>
      <c r="N39" s="6">
        <f t="shared" ref="N39:O39" si="44">SUM(D39+G39+K39)/3</f>
        <v>46.66666667</v>
      </c>
      <c r="O39" s="6">
        <f t="shared" si="44"/>
        <v>28</v>
      </c>
      <c r="P39" s="5">
        <v>10.0</v>
      </c>
      <c r="Q39" s="5">
        <v>10.0</v>
      </c>
      <c r="R39" s="6">
        <f t="shared" si="6"/>
        <v>48</v>
      </c>
      <c r="S39" s="4">
        <f t="shared" si="9"/>
        <v>48</v>
      </c>
      <c r="T39" s="4"/>
      <c r="U39" s="4"/>
      <c r="V39" s="4"/>
      <c r="W39" s="4"/>
      <c r="X39" s="4"/>
      <c r="Y39" s="4"/>
      <c r="Z39" s="4"/>
    </row>
    <row r="40" ht="14.25" customHeight="1">
      <c r="A40" s="7">
        <v>38.0</v>
      </c>
      <c r="B40" s="8" t="s">
        <v>90</v>
      </c>
      <c r="C40" s="9" t="s">
        <v>91</v>
      </c>
      <c r="D40" s="5">
        <v>25.0</v>
      </c>
      <c r="E40" s="5">
        <f t="shared" si="2"/>
        <v>15</v>
      </c>
      <c r="F40" s="5">
        <v>15.0</v>
      </c>
      <c r="G40" s="5">
        <v>50.0</v>
      </c>
      <c r="H40" s="5">
        <f t="shared" si="3"/>
        <v>30</v>
      </c>
      <c r="I40" s="5">
        <v>30.0</v>
      </c>
      <c r="J40" s="5">
        <v>50.0</v>
      </c>
      <c r="K40" s="5">
        <v>35.0</v>
      </c>
      <c r="L40" s="5">
        <f t="shared" si="4"/>
        <v>21</v>
      </c>
      <c r="M40" s="5">
        <f t="shared" si="7"/>
        <v>21</v>
      </c>
      <c r="N40" s="6">
        <f t="shared" ref="N40:O40" si="45">SUM(D40+G40+K40)/3</f>
        <v>36.66666667</v>
      </c>
      <c r="O40" s="6">
        <f t="shared" si="45"/>
        <v>22</v>
      </c>
      <c r="P40" s="5">
        <v>10.0</v>
      </c>
      <c r="Q40" s="5">
        <v>10.0</v>
      </c>
      <c r="R40" s="6">
        <f t="shared" si="6"/>
        <v>42</v>
      </c>
      <c r="S40" s="4">
        <f t="shared" si="9"/>
        <v>42</v>
      </c>
      <c r="T40" s="4"/>
      <c r="U40" s="4"/>
      <c r="V40" s="4"/>
      <c r="W40" s="4"/>
      <c r="X40" s="4"/>
      <c r="Y40" s="4"/>
      <c r="Z40" s="4"/>
    </row>
    <row r="41" ht="14.25" customHeight="1">
      <c r="A41" s="7">
        <v>39.0</v>
      </c>
      <c r="B41" s="8" t="s">
        <v>92</v>
      </c>
      <c r="C41" s="9" t="s">
        <v>93</v>
      </c>
      <c r="D41" s="5">
        <v>34.0</v>
      </c>
      <c r="E41" s="5">
        <f t="shared" si="2"/>
        <v>20.4</v>
      </c>
      <c r="F41" s="5">
        <v>21.0</v>
      </c>
      <c r="G41" s="5">
        <v>23.0</v>
      </c>
      <c r="H41" s="5">
        <f t="shared" si="3"/>
        <v>13.8</v>
      </c>
      <c r="I41" s="5">
        <v>14.0</v>
      </c>
      <c r="J41" s="5">
        <v>23.0</v>
      </c>
      <c r="K41" s="5">
        <v>25.0</v>
      </c>
      <c r="L41" s="5">
        <f t="shared" si="4"/>
        <v>15</v>
      </c>
      <c r="M41" s="5">
        <f t="shared" si="7"/>
        <v>15</v>
      </c>
      <c r="N41" s="6">
        <f t="shared" ref="N41:O41" si="46">SUM(D41+G41+K41)/3</f>
        <v>27.33333333</v>
      </c>
      <c r="O41" s="6">
        <f t="shared" si="46"/>
        <v>16.4</v>
      </c>
      <c r="P41" s="5">
        <v>10.0</v>
      </c>
      <c r="Q41" s="5">
        <v>10.0</v>
      </c>
      <c r="R41" s="6">
        <f t="shared" si="6"/>
        <v>36.4</v>
      </c>
      <c r="S41" s="4">
        <f t="shared" si="9"/>
        <v>37</v>
      </c>
      <c r="T41" s="4"/>
      <c r="U41" s="4"/>
      <c r="V41" s="4"/>
      <c r="W41" s="4"/>
      <c r="X41" s="4"/>
      <c r="Y41" s="4"/>
      <c r="Z41" s="4"/>
    </row>
    <row r="42" ht="14.25" customHeight="1">
      <c r="A42" s="7">
        <v>40.0</v>
      </c>
      <c r="B42" s="8" t="s">
        <v>94</v>
      </c>
      <c r="C42" s="9" t="s">
        <v>95</v>
      </c>
      <c r="D42" s="5">
        <v>47.0</v>
      </c>
      <c r="E42" s="5">
        <f t="shared" si="2"/>
        <v>28.2</v>
      </c>
      <c r="F42" s="5">
        <v>29.0</v>
      </c>
      <c r="G42" s="5">
        <v>45.0</v>
      </c>
      <c r="H42" s="5">
        <f t="shared" si="3"/>
        <v>27</v>
      </c>
      <c r="I42" s="5">
        <v>27.0</v>
      </c>
      <c r="J42" s="5">
        <v>45.0</v>
      </c>
      <c r="K42" s="5">
        <v>46.0</v>
      </c>
      <c r="L42" s="5">
        <f t="shared" si="4"/>
        <v>27.6</v>
      </c>
      <c r="M42" s="5">
        <f t="shared" si="7"/>
        <v>28</v>
      </c>
      <c r="N42" s="6">
        <f t="shared" ref="N42:O42" si="47">SUM(D42+G42+K42)/3</f>
        <v>46</v>
      </c>
      <c r="O42" s="6">
        <f t="shared" si="47"/>
        <v>27.6</v>
      </c>
      <c r="P42" s="5">
        <v>10.0</v>
      </c>
      <c r="Q42" s="5">
        <v>10.0</v>
      </c>
      <c r="R42" s="6">
        <f t="shared" si="6"/>
        <v>47.6</v>
      </c>
      <c r="S42" s="4">
        <f t="shared" si="9"/>
        <v>48</v>
      </c>
      <c r="T42" s="4"/>
      <c r="U42" s="4"/>
      <c r="V42" s="4"/>
      <c r="W42" s="4"/>
      <c r="X42" s="4"/>
      <c r="Y42" s="4"/>
      <c r="Z42" s="4"/>
    </row>
    <row r="43" ht="14.25" customHeight="1">
      <c r="A43" s="7">
        <v>41.0</v>
      </c>
      <c r="B43" s="8" t="s">
        <v>96</v>
      </c>
      <c r="C43" s="9" t="s">
        <v>97</v>
      </c>
      <c r="D43" s="5">
        <v>43.0</v>
      </c>
      <c r="E43" s="5">
        <f t="shared" si="2"/>
        <v>25.8</v>
      </c>
      <c r="F43" s="5">
        <v>26.0</v>
      </c>
      <c r="G43" s="5">
        <v>49.0</v>
      </c>
      <c r="H43" s="5">
        <f t="shared" si="3"/>
        <v>29.4</v>
      </c>
      <c r="I43" s="5">
        <v>30.0</v>
      </c>
      <c r="J43" s="5">
        <v>49.0</v>
      </c>
      <c r="K43" s="5">
        <v>48.0</v>
      </c>
      <c r="L43" s="5">
        <f t="shared" si="4"/>
        <v>28.8</v>
      </c>
      <c r="M43" s="5">
        <f t="shared" si="7"/>
        <v>29</v>
      </c>
      <c r="N43" s="6">
        <f t="shared" ref="N43:O43" si="48">SUM(D43+G43+K43)/3</f>
        <v>46.66666667</v>
      </c>
      <c r="O43" s="6">
        <f t="shared" si="48"/>
        <v>28</v>
      </c>
      <c r="P43" s="5">
        <v>10.0</v>
      </c>
      <c r="Q43" s="5">
        <v>10.0</v>
      </c>
      <c r="R43" s="6">
        <f t="shared" si="6"/>
        <v>48</v>
      </c>
      <c r="S43" s="4">
        <f t="shared" si="9"/>
        <v>48</v>
      </c>
      <c r="T43" s="4"/>
      <c r="U43" s="4"/>
      <c r="V43" s="4"/>
      <c r="W43" s="4"/>
      <c r="X43" s="4"/>
      <c r="Y43" s="4"/>
      <c r="Z43" s="4"/>
    </row>
    <row r="44" ht="14.25" customHeight="1">
      <c r="A44" s="7">
        <v>42.0</v>
      </c>
      <c r="B44" s="8" t="s">
        <v>98</v>
      </c>
      <c r="C44" s="9" t="s">
        <v>99</v>
      </c>
      <c r="D44" s="5">
        <v>45.0</v>
      </c>
      <c r="E44" s="5">
        <f t="shared" si="2"/>
        <v>27</v>
      </c>
      <c r="F44" s="5">
        <v>27.0</v>
      </c>
      <c r="G44" s="5">
        <v>50.0</v>
      </c>
      <c r="H44" s="5">
        <f t="shared" si="3"/>
        <v>30</v>
      </c>
      <c r="I44" s="5">
        <v>30.0</v>
      </c>
      <c r="J44" s="5">
        <v>50.0</v>
      </c>
      <c r="K44" s="5">
        <v>50.0</v>
      </c>
      <c r="L44" s="5">
        <f t="shared" si="4"/>
        <v>30</v>
      </c>
      <c r="M44" s="5">
        <f t="shared" si="7"/>
        <v>30</v>
      </c>
      <c r="N44" s="6">
        <f t="shared" ref="N44:O44" si="49">SUM(D44+G44+K44)/3</f>
        <v>48.33333333</v>
      </c>
      <c r="O44" s="6">
        <f t="shared" si="49"/>
        <v>29</v>
      </c>
      <c r="P44" s="5">
        <v>10.0</v>
      </c>
      <c r="Q44" s="5">
        <v>10.0</v>
      </c>
      <c r="R44" s="6">
        <f t="shared" si="6"/>
        <v>49</v>
      </c>
      <c r="S44" s="4">
        <f t="shared" si="9"/>
        <v>49</v>
      </c>
      <c r="T44" s="4"/>
      <c r="U44" s="4"/>
      <c r="V44" s="4"/>
      <c r="W44" s="4"/>
      <c r="X44" s="4"/>
      <c r="Y44" s="4"/>
      <c r="Z44" s="4"/>
    </row>
    <row r="45" ht="14.25" customHeight="1">
      <c r="A45" s="7">
        <v>43.0</v>
      </c>
      <c r="B45" s="8" t="s">
        <v>100</v>
      </c>
      <c r="C45" s="9" t="s">
        <v>101</v>
      </c>
      <c r="D45" s="5">
        <v>48.0</v>
      </c>
      <c r="E45" s="5">
        <f t="shared" si="2"/>
        <v>28.8</v>
      </c>
      <c r="F45" s="5">
        <v>29.0</v>
      </c>
      <c r="G45" s="5">
        <v>47.0</v>
      </c>
      <c r="H45" s="5">
        <f t="shared" si="3"/>
        <v>28.2</v>
      </c>
      <c r="I45" s="5">
        <v>29.0</v>
      </c>
      <c r="J45" s="5">
        <v>47.0</v>
      </c>
      <c r="K45" s="5">
        <v>40.0</v>
      </c>
      <c r="L45" s="5">
        <f t="shared" si="4"/>
        <v>24</v>
      </c>
      <c r="M45" s="5">
        <f t="shared" si="7"/>
        <v>24</v>
      </c>
      <c r="N45" s="6">
        <f t="shared" ref="N45:O45" si="50">SUM(D45+G45+K45)/3</f>
        <v>45</v>
      </c>
      <c r="O45" s="6">
        <f t="shared" si="50"/>
        <v>27</v>
      </c>
      <c r="P45" s="5">
        <v>10.0</v>
      </c>
      <c r="Q45" s="5">
        <v>10.0</v>
      </c>
      <c r="R45" s="6">
        <f t="shared" si="6"/>
        <v>47</v>
      </c>
      <c r="S45" s="4">
        <f t="shared" si="9"/>
        <v>47</v>
      </c>
      <c r="T45" s="4"/>
      <c r="U45" s="4"/>
      <c r="V45" s="4"/>
      <c r="W45" s="4"/>
      <c r="X45" s="4"/>
      <c r="Y45" s="4"/>
      <c r="Z45" s="4"/>
    </row>
    <row r="46" ht="14.25" customHeight="1">
      <c r="A46" s="7">
        <v>44.0</v>
      </c>
      <c r="B46" s="8" t="s">
        <v>102</v>
      </c>
      <c r="C46" s="9" t="s">
        <v>103</v>
      </c>
      <c r="D46" s="5">
        <v>38.0</v>
      </c>
      <c r="E46" s="5">
        <f t="shared" si="2"/>
        <v>22.8</v>
      </c>
      <c r="F46" s="5">
        <v>23.0</v>
      </c>
      <c r="G46" s="5">
        <v>44.0</v>
      </c>
      <c r="H46" s="5">
        <f t="shared" si="3"/>
        <v>26.4</v>
      </c>
      <c r="I46" s="5">
        <v>27.0</v>
      </c>
      <c r="J46" s="5">
        <v>44.0</v>
      </c>
      <c r="K46" s="5">
        <v>30.0</v>
      </c>
      <c r="L46" s="5">
        <f t="shared" si="4"/>
        <v>18</v>
      </c>
      <c r="M46" s="5">
        <f t="shared" si="7"/>
        <v>18</v>
      </c>
      <c r="N46" s="6">
        <f t="shared" ref="N46:O46" si="51">SUM(D46+G46+K46)/3</f>
        <v>37.33333333</v>
      </c>
      <c r="O46" s="6">
        <f t="shared" si="51"/>
        <v>22.4</v>
      </c>
      <c r="P46" s="5">
        <v>10.0</v>
      </c>
      <c r="Q46" s="5">
        <v>10.0</v>
      </c>
      <c r="R46" s="6">
        <f t="shared" si="6"/>
        <v>42.4</v>
      </c>
      <c r="S46" s="4">
        <f t="shared" si="9"/>
        <v>43</v>
      </c>
      <c r="T46" s="4"/>
      <c r="U46" s="4"/>
      <c r="V46" s="4"/>
      <c r="W46" s="4"/>
      <c r="X46" s="4"/>
      <c r="Y46" s="4"/>
      <c r="Z46" s="4"/>
    </row>
    <row r="47" ht="14.25" customHeight="1">
      <c r="A47" s="7">
        <v>45.0</v>
      </c>
      <c r="B47" s="8" t="s">
        <v>104</v>
      </c>
      <c r="C47" s="9" t="s">
        <v>105</v>
      </c>
      <c r="D47" s="5">
        <v>32.0</v>
      </c>
      <c r="E47" s="5">
        <f t="shared" si="2"/>
        <v>19.2</v>
      </c>
      <c r="F47" s="5">
        <v>20.0</v>
      </c>
      <c r="G47" s="5">
        <v>48.0</v>
      </c>
      <c r="H47" s="5">
        <f t="shared" si="3"/>
        <v>28.8</v>
      </c>
      <c r="I47" s="5">
        <v>29.0</v>
      </c>
      <c r="J47" s="5">
        <v>48.0</v>
      </c>
      <c r="K47" s="5">
        <v>33.0</v>
      </c>
      <c r="L47" s="5">
        <f t="shared" si="4"/>
        <v>19.8</v>
      </c>
      <c r="M47" s="5">
        <f t="shared" si="7"/>
        <v>20</v>
      </c>
      <c r="N47" s="6">
        <f t="shared" ref="N47:O47" si="52">SUM(D47+G47+K47)/3</f>
        <v>37.66666667</v>
      </c>
      <c r="O47" s="6">
        <f t="shared" si="52"/>
        <v>22.6</v>
      </c>
      <c r="P47" s="5">
        <v>10.0</v>
      </c>
      <c r="Q47" s="5">
        <v>10.0</v>
      </c>
      <c r="R47" s="6">
        <f t="shared" si="6"/>
        <v>42.6</v>
      </c>
      <c r="S47" s="4">
        <f t="shared" si="9"/>
        <v>43</v>
      </c>
      <c r="T47" s="4"/>
      <c r="U47" s="4"/>
      <c r="V47" s="4"/>
      <c r="W47" s="4"/>
      <c r="X47" s="4"/>
      <c r="Y47" s="4"/>
      <c r="Z47" s="4"/>
    </row>
    <row r="48" ht="14.25" customHeight="1">
      <c r="A48" s="7">
        <v>46.0</v>
      </c>
      <c r="B48" s="8" t="s">
        <v>106</v>
      </c>
      <c r="C48" s="9" t="s">
        <v>107</v>
      </c>
      <c r="D48" s="5">
        <v>36.0</v>
      </c>
      <c r="E48" s="5">
        <f t="shared" si="2"/>
        <v>21.6</v>
      </c>
      <c r="F48" s="5">
        <v>22.0</v>
      </c>
      <c r="G48" s="5">
        <v>44.0</v>
      </c>
      <c r="H48" s="5">
        <f t="shared" si="3"/>
        <v>26.4</v>
      </c>
      <c r="I48" s="5">
        <v>27.0</v>
      </c>
      <c r="J48" s="5">
        <v>44.0</v>
      </c>
      <c r="K48" s="5">
        <v>46.0</v>
      </c>
      <c r="L48" s="5">
        <f t="shared" si="4"/>
        <v>27.6</v>
      </c>
      <c r="M48" s="5">
        <f t="shared" si="7"/>
        <v>28</v>
      </c>
      <c r="N48" s="6">
        <f t="shared" ref="N48:O48" si="53">SUM(D48+G48+K48)/3</f>
        <v>42</v>
      </c>
      <c r="O48" s="6">
        <f t="shared" si="53"/>
        <v>25.2</v>
      </c>
      <c r="P48" s="5">
        <v>10.0</v>
      </c>
      <c r="Q48" s="5">
        <v>10.0</v>
      </c>
      <c r="R48" s="6">
        <f t="shared" si="6"/>
        <v>45.2</v>
      </c>
      <c r="S48" s="4">
        <f t="shared" si="9"/>
        <v>46</v>
      </c>
      <c r="T48" s="4"/>
      <c r="U48" s="4"/>
      <c r="V48" s="4"/>
      <c r="W48" s="4"/>
      <c r="X48" s="4"/>
      <c r="Y48" s="4"/>
      <c r="Z48" s="4"/>
    </row>
    <row r="49" ht="14.25" customHeight="1">
      <c r="A49" s="7">
        <v>47.0</v>
      </c>
      <c r="B49" s="8" t="s">
        <v>108</v>
      </c>
      <c r="C49" s="9" t="s">
        <v>109</v>
      </c>
      <c r="D49" s="5">
        <v>47.0</v>
      </c>
      <c r="E49" s="5">
        <f t="shared" si="2"/>
        <v>28.2</v>
      </c>
      <c r="F49" s="5">
        <v>29.0</v>
      </c>
      <c r="G49" s="5">
        <v>43.0</v>
      </c>
      <c r="H49" s="5">
        <f t="shared" si="3"/>
        <v>25.8</v>
      </c>
      <c r="I49" s="5">
        <v>26.0</v>
      </c>
      <c r="J49" s="5">
        <v>43.0</v>
      </c>
      <c r="K49" s="5">
        <v>50.0</v>
      </c>
      <c r="L49" s="5">
        <f t="shared" si="4"/>
        <v>30</v>
      </c>
      <c r="M49" s="5">
        <f t="shared" si="7"/>
        <v>30</v>
      </c>
      <c r="N49" s="6">
        <f t="shared" ref="N49:O49" si="54">SUM(D49+G49+K49)/3</f>
        <v>46.66666667</v>
      </c>
      <c r="O49" s="6">
        <f t="shared" si="54"/>
        <v>28</v>
      </c>
      <c r="P49" s="5">
        <v>10.0</v>
      </c>
      <c r="Q49" s="5">
        <v>10.0</v>
      </c>
      <c r="R49" s="6">
        <f t="shared" si="6"/>
        <v>48</v>
      </c>
      <c r="S49" s="4">
        <f t="shared" si="9"/>
        <v>48</v>
      </c>
      <c r="T49" s="4"/>
      <c r="U49" s="4"/>
      <c r="V49" s="4"/>
      <c r="W49" s="4"/>
      <c r="X49" s="4"/>
      <c r="Y49" s="4"/>
      <c r="Z49" s="4"/>
    </row>
    <row r="50" ht="14.25" customHeight="1">
      <c r="A50" s="7">
        <v>48.0</v>
      </c>
      <c r="B50" s="8" t="s">
        <v>110</v>
      </c>
      <c r="C50" s="9" t="s">
        <v>111</v>
      </c>
      <c r="D50" s="5">
        <v>36.0</v>
      </c>
      <c r="E50" s="5">
        <f t="shared" si="2"/>
        <v>21.6</v>
      </c>
      <c r="F50" s="5">
        <v>22.0</v>
      </c>
      <c r="G50" s="5">
        <v>39.0</v>
      </c>
      <c r="H50" s="5">
        <f t="shared" si="3"/>
        <v>23.4</v>
      </c>
      <c r="I50" s="5">
        <v>24.0</v>
      </c>
      <c r="J50" s="5">
        <v>39.0</v>
      </c>
      <c r="K50" s="5">
        <v>36.0</v>
      </c>
      <c r="L50" s="5">
        <f t="shared" si="4"/>
        <v>21.6</v>
      </c>
      <c r="M50" s="5">
        <f t="shared" si="7"/>
        <v>22</v>
      </c>
      <c r="N50" s="6">
        <f t="shared" ref="N50:O50" si="55">SUM(D50+G50+K50)/3</f>
        <v>37</v>
      </c>
      <c r="O50" s="6">
        <f t="shared" si="55"/>
        <v>22.2</v>
      </c>
      <c r="P50" s="5">
        <v>10.0</v>
      </c>
      <c r="Q50" s="5">
        <v>10.0</v>
      </c>
      <c r="R50" s="6">
        <f t="shared" si="6"/>
        <v>42.2</v>
      </c>
      <c r="S50" s="4">
        <f t="shared" si="9"/>
        <v>43</v>
      </c>
      <c r="T50" s="4"/>
      <c r="U50" s="4"/>
      <c r="V50" s="4"/>
      <c r="W50" s="4"/>
      <c r="X50" s="4"/>
      <c r="Y50" s="4"/>
      <c r="Z50" s="4"/>
    </row>
    <row r="51" ht="14.25" customHeight="1">
      <c r="A51" s="7">
        <v>49.0</v>
      </c>
      <c r="B51" s="8" t="s">
        <v>112</v>
      </c>
      <c r="C51" s="9" t="s">
        <v>113</v>
      </c>
      <c r="D51" s="5">
        <v>31.0</v>
      </c>
      <c r="E51" s="5">
        <f t="shared" si="2"/>
        <v>18.6</v>
      </c>
      <c r="F51" s="5">
        <v>19.0</v>
      </c>
      <c r="G51" s="5">
        <v>35.0</v>
      </c>
      <c r="H51" s="5">
        <f t="shared" si="3"/>
        <v>21</v>
      </c>
      <c r="I51" s="5">
        <v>21.0</v>
      </c>
      <c r="J51" s="5">
        <v>35.0</v>
      </c>
      <c r="K51" s="5">
        <v>38.0</v>
      </c>
      <c r="L51" s="5">
        <f t="shared" si="4"/>
        <v>22.8</v>
      </c>
      <c r="M51" s="5">
        <f t="shared" si="7"/>
        <v>23</v>
      </c>
      <c r="N51" s="6">
        <f t="shared" ref="N51:O51" si="56">SUM(D51+G51+K51)/3</f>
        <v>34.66666667</v>
      </c>
      <c r="O51" s="6">
        <f t="shared" si="56"/>
        <v>20.8</v>
      </c>
      <c r="P51" s="5">
        <v>10.0</v>
      </c>
      <c r="Q51" s="5">
        <v>10.0</v>
      </c>
      <c r="R51" s="6">
        <f t="shared" si="6"/>
        <v>40.8</v>
      </c>
      <c r="S51" s="4">
        <f t="shared" si="9"/>
        <v>41</v>
      </c>
      <c r="T51" s="4"/>
      <c r="U51" s="4"/>
      <c r="V51" s="4"/>
      <c r="W51" s="4"/>
      <c r="X51" s="4"/>
      <c r="Y51" s="4"/>
      <c r="Z51" s="4"/>
    </row>
    <row r="52" ht="14.25" customHeight="1">
      <c r="A52" s="7">
        <v>50.0</v>
      </c>
      <c r="B52" s="8" t="s">
        <v>114</v>
      </c>
      <c r="C52" s="9" t="s">
        <v>115</v>
      </c>
      <c r="D52" s="5">
        <v>35.0</v>
      </c>
      <c r="E52" s="5">
        <f t="shared" si="2"/>
        <v>21</v>
      </c>
      <c r="F52" s="5">
        <v>21.0</v>
      </c>
      <c r="G52" s="5">
        <v>50.0</v>
      </c>
      <c r="H52" s="5">
        <f t="shared" si="3"/>
        <v>30</v>
      </c>
      <c r="I52" s="5">
        <v>30.0</v>
      </c>
      <c r="J52" s="5">
        <v>50.0</v>
      </c>
      <c r="K52" s="5">
        <v>40.0</v>
      </c>
      <c r="L52" s="5">
        <f t="shared" si="4"/>
        <v>24</v>
      </c>
      <c r="M52" s="5">
        <f t="shared" si="7"/>
        <v>24</v>
      </c>
      <c r="N52" s="6">
        <f t="shared" ref="N52:O52" si="57">SUM(D52+G52+K52)/3</f>
        <v>41.66666667</v>
      </c>
      <c r="O52" s="6">
        <f t="shared" si="57"/>
        <v>25</v>
      </c>
      <c r="P52" s="5">
        <v>10.0</v>
      </c>
      <c r="Q52" s="5">
        <v>10.0</v>
      </c>
      <c r="R52" s="6">
        <f t="shared" si="6"/>
        <v>45</v>
      </c>
      <c r="S52" s="4">
        <f t="shared" si="9"/>
        <v>45</v>
      </c>
      <c r="T52" s="4"/>
      <c r="U52" s="4"/>
      <c r="V52" s="4"/>
      <c r="W52" s="4"/>
      <c r="X52" s="4"/>
      <c r="Y52" s="4"/>
      <c r="Z52" s="4"/>
    </row>
    <row r="53" ht="14.25" customHeight="1">
      <c r="A53" s="7">
        <v>51.0</v>
      </c>
      <c r="B53" s="8" t="s">
        <v>116</v>
      </c>
      <c r="C53" s="9" t="s">
        <v>117</v>
      </c>
      <c r="D53" s="5">
        <v>21.0</v>
      </c>
      <c r="E53" s="5">
        <f t="shared" si="2"/>
        <v>12.6</v>
      </c>
      <c r="F53" s="5">
        <v>13.0</v>
      </c>
      <c r="G53" s="5">
        <v>35.0</v>
      </c>
      <c r="H53" s="5">
        <f t="shared" si="3"/>
        <v>21</v>
      </c>
      <c r="I53" s="5">
        <v>21.0</v>
      </c>
      <c r="J53" s="5">
        <v>35.0</v>
      </c>
      <c r="K53" s="5">
        <v>7.0</v>
      </c>
      <c r="L53" s="5">
        <f t="shared" si="4"/>
        <v>4.2</v>
      </c>
      <c r="M53" s="5">
        <f t="shared" si="7"/>
        <v>5</v>
      </c>
      <c r="N53" s="6">
        <f t="shared" ref="N53:O53" si="58">SUM(D53+G53+K53)/3</f>
        <v>21</v>
      </c>
      <c r="O53" s="6">
        <f t="shared" si="58"/>
        <v>12.6</v>
      </c>
      <c r="P53" s="5">
        <v>10.0</v>
      </c>
      <c r="Q53" s="5">
        <v>10.0</v>
      </c>
      <c r="R53" s="6">
        <f t="shared" si="6"/>
        <v>32.6</v>
      </c>
      <c r="S53" s="4">
        <f t="shared" si="9"/>
        <v>33</v>
      </c>
      <c r="T53" s="4"/>
      <c r="U53" s="4"/>
      <c r="V53" s="4"/>
      <c r="W53" s="4"/>
      <c r="X53" s="4"/>
      <c r="Y53" s="4"/>
      <c r="Z53" s="4"/>
    </row>
    <row r="54" ht="14.25" customHeight="1">
      <c r="A54" s="7">
        <v>52.0</v>
      </c>
      <c r="B54" s="8" t="s">
        <v>118</v>
      </c>
      <c r="C54" s="9" t="s">
        <v>119</v>
      </c>
      <c r="D54" s="5">
        <v>47.0</v>
      </c>
      <c r="E54" s="5">
        <f t="shared" si="2"/>
        <v>28.2</v>
      </c>
      <c r="F54" s="5">
        <v>29.0</v>
      </c>
      <c r="G54" s="5">
        <v>45.0</v>
      </c>
      <c r="H54" s="5">
        <f t="shared" si="3"/>
        <v>27</v>
      </c>
      <c r="I54" s="5">
        <v>27.0</v>
      </c>
      <c r="J54" s="5">
        <v>45.0</v>
      </c>
      <c r="K54" s="5">
        <v>37.0</v>
      </c>
      <c r="L54" s="5">
        <f t="shared" si="4"/>
        <v>22.2</v>
      </c>
      <c r="M54" s="5">
        <f t="shared" si="7"/>
        <v>23</v>
      </c>
      <c r="N54" s="6">
        <f t="shared" ref="N54:O54" si="59">SUM(D54+G54+K54)/3</f>
        <v>43</v>
      </c>
      <c r="O54" s="6">
        <f t="shared" si="59"/>
        <v>25.8</v>
      </c>
      <c r="P54" s="5">
        <v>10.0</v>
      </c>
      <c r="Q54" s="5">
        <v>10.0</v>
      </c>
      <c r="R54" s="6">
        <f t="shared" si="6"/>
        <v>45.8</v>
      </c>
      <c r="S54" s="4">
        <f t="shared" si="9"/>
        <v>46</v>
      </c>
      <c r="T54" s="4"/>
      <c r="U54" s="4"/>
      <c r="V54" s="4"/>
      <c r="W54" s="4"/>
      <c r="X54" s="4"/>
      <c r="Y54" s="4"/>
      <c r="Z54" s="4"/>
    </row>
    <row r="55" ht="14.25" customHeight="1">
      <c r="A55" s="7">
        <v>53.0</v>
      </c>
      <c r="B55" s="8" t="s">
        <v>120</v>
      </c>
      <c r="C55" s="9" t="s">
        <v>121</v>
      </c>
      <c r="D55" s="5">
        <v>39.0</v>
      </c>
      <c r="E55" s="5">
        <f t="shared" si="2"/>
        <v>23.4</v>
      </c>
      <c r="F55" s="5">
        <v>24.0</v>
      </c>
      <c r="G55" s="5">
        <v>45.0</v>
      </c>
      <c r="H55" s="5">
        <f t="shared" si="3"/>
        <v>27</v>
      </c>
      <c r="I55" s="5">
        <v>27.0</v>
      </c>
      <c r="J55" s="5">
        <v>45.0</v>
      </c>
      <c r="K55" s="5">
        <v>45.0</v>
      </c>
      <c r="L55" s="5">
        <f t="shared" si="4"/>
        <v>27</v>
      </c>
      <c r="M55" s="5">
        <f t="shared" si="7"/>
        <v>27</v>
      </c>
      <c r="N55" s="6">
        <f t="shared" ref="N55:O55" si="60">SUM(D55+G55+K55)/3</f>
        <v>43</v>
      </c>
      <c r="O55" s="6">
        <f t="shared" si="60"/>
        <v>25.8</v>
      </c>
      <c r="P55" s="5">
        <v>10.0</v>
      </c>
      <c r="Q55" s="5">
        <v>10.0</v>
      </c>
      <c r="R55" s="6">
        <f t="shared" si="6"/>
        <v>45.8</v>
      </c>
      <c r="S55" s="4">
        <f t="shared" si="9"/>
        <v>46</v>
      </c>
      <c r="T55" s="4"/>
      <c r="U55" s="4"/>
      <c r="V55" s="4"/>
      <c r="W55" s="4"/>
      <c r="X55" s="4"/>
      <c r="Y55" s="4"/>
      <c r="Z55" s="4"/>
    </row>
    <row r="56" ht="14.25" customHeight="1">
      <c r="A56" s="7">
        <v>54.0</v>
      </c>
      <c r="B56" s="8" t="s">
        <v>122</v>
      </c>
      <c r="C56" s="9" t="s">
        <v>123</v>
      </c>
      <c r="D56" s="5">
        <v>43.0</v>
      </c>
      <c r="E56" s="5">
        <f t="shared" si="2"/>
        <v>25.8</v>
      </c>
      <c r="F56" s="5">
        <v>26.0</v>
      </c>
      <c r="G56" s="5">
        <v>40.0</v>
      </c>
      <c r="H56" s="5">
        <f t="shared" si="3"/>
        <v>24</v>
      </c>
      <c r="I56" s="5">
        <v>24.0</v>
      </c>
      <c r="J56" s="5">
        <v>40.0</v>
      </c>
      <c r="K56" s="5">
        <v>50.0</v>
      </c>
      <c r="L56" s="5">
        <f t="shared" si="4"/>
        <v>30</v>
      </c>
      <c r="M56" s="5">
        <f t="shared" si="7"/>
        <v>30</v>
      </c>
      <c r="N56" s="6">
        <f t="shared" ref="N56:O56" si="61">SUM(D56+G56+K56)/3</f>
        <v>44.33333333</v>
      </c>
      <c r="O56" s="6">
        <f t="shared" si="61"/>
        <v>26.6</v>
      </c>
      <c r="P56" s="5">
        <v>10.0</v>
      </c>
      <c r="Q56" s="5">
        <v>10.0</v>
      </c>
      <c r="R56" s="6">
        <f t="shared" si="6"/>
        <v>46.6</v>
      </c>
      <c r="S56" s="4">
        <f t="shared" si="9"/>
        <v>47</v>
      </c>
      <c r="T56" s="4"/>
      <c r="U56" s="4"/>
      <c r="V56" s="4"/>
      <c r="W56" s="4"/>
      <c r="X56" s="4"/>
      <c r="Y56" s="4"/>
      <c r="Z56" s="4"/>
    </row>
    <row r="57" ht="14.25" customHeight="1">
      <c r="A57" s="7">
        <v>55.0</v>
      </c>
      <c r="B57" s="8" t="s">
        <v>124</v>
      </c>
      <c r="C57" s="9" t="s">
        <v>125</v>
      </c>
      <c r="D57" s="5">
        <v>50.0</v>
      </c>
      <c r="E57" s="5">
        <f t="shared" si="2"/>
        <v>30</v>
      </c>
      <c r="F57" s="5">
        <v>30.0</v>
      </c>
      <c r="G57" s="5">
        <v>50.0</v>
      </c>
      <c r="H57" s="5">
        <f t="shared" si="3"/>
        <v>30</v>
      </c>
      <c r="I57" s="5">
        <v>30.0</v>
      </c>
      <c r="J57" s="5">
        <v>50.0</v>
      </c>
      <c r="K57" s="5">
        <v>50.0</v>
      </c>
      <c r="L57" s="5">
        <f t="shared" si="4"/>
        <v>30</v>
      </c>
      <c r="M57" s="5">
        <f t="shared" si="7"/>
        <v>30</v>
      </c>
      <c r="N57" s="6">
        <f t="shared" ref="N57:O57" si="62">SUM(D57+G57+K57)/3</f>
        <v>50</v>
      </c>
      <c r="O57" s="6">
        <f t="shared" si="62"/>
        <v>30</v>
      </c>
      <c r="P57" s="5">
        <v>10.0</v>
      </c>
      <c r="Q57" s="5">
        <v>10.0</v>
      </c>
      <c r="R57" s="6">
        <f t="shared" si="6"/>
        <v>50</v>
      </c>
      <c r="S57" s="4">
        <f t="shared" si="9"/>
        <v>50</v>
      </c>
      <c r="T57" s="4"/>
      <c r="U57" s="4"/>
      <c r="V57" s="4"/>
      <c r="W57" s="4"/>
      <c r="X57" s="4"/>
      <c r="Y57" s="4"/>
      <c r="Z57" s="4"/>
    </row>
    <row r="58" ht="14.25" customHeight="1">
      <c r="A58" s="7">
        <v>56.0</v>
      </c>
      <c r="B58" s="8" t="s">
        <v>126</v>
      </c>
      <c r="C58" s="9" t="s">
        <v>127</v>
      </c>
      <c r="D58" s="5">
        <v>40.0</v>
      </c>
      <c r="E58" s="5">
        <f t="shared" si="2"/>
        <v>24</v>
      </c>
      <c r="F58" s="5">
        <v>24.0</v>
      </c>
      <c r="G58" s="5">
        <v>35.0</v>
      </c>
      <c r="H58" s="5">
        <f t="shared" si="3"/>
        <v>21</v>
      </c>
      <c r="I58" s="5">
        <v>21.0</v>
      </c>
      <c r="J58" s="5">
        <v>35.0</v>
      </c>
      <c r="K58" s="5">
        <v>20.0</v>
      </c>
      <c r="L58" s="5">
        <f t="shared" si="4"/>
        <v>12</v>
      </c>
      <c r="M58" s="5">
        <f t="shared" si="7"/>
        <v>12</v>
      </c>
      <c r="N58" s="6">
        <f t="shared" ref="N58:O58" si="63">SUM(D58+G58+K58)/3</f>
        <v>31.66666667</v>
      </c>
      <c r="O58" s="6">
        <f t="shared" si="63"/>
        <v>19</v>
      </c>
      <c r="P58" s="5">
        <v>10.0</v>
      </c>
      <c r="Q58" s="5">
        <v>10.0</v>
      </c>
      <c r="R58" s="6">
        <f t="shared" si="6"/>
        <v>39</v>
      </c>
      <c r="S58" s="4">
        <f t="shared" si="9"/>
        <v>39</v>
      </c>
      <c r="T58" s="4"/>
      <c r="U58" s="4"/>
      <c r="V58" s="4"/>
      <c r="W58" s="4"/>
      <c r="X58" s="4"/>
      <c r="Y58" s="4"/>
      <c r="Z58" s="4"/>
    </row>
    <row r="59" ht="14.25" customHeight="1">
      <c r="A59" s="7">
        <v>57.0</v>
      </c>
      <c r="B59" s="8" t="s">
        <v>128</v>
      </c>
      <c r="C59" s="9" t="s">
        <v>129</v>
      </c>
      <c r="D59" s="5">
        <v>43.0</v>
      </c>
      <c r="E59" s="5">
        <f t="shared" si="2"/>
        <v>25.8</v>
      </c>
      <c r="F59" s="5">
        <v>26.0</v>
      </c>
      <c r="G59" s="5">
        <v>49.0</v>
      </c>
      <c r="H59" s="5">
        <f t="shared" si="3"/>
        <v>29.4</v>
      </c>
      <c r="I59" s="5">
        <v>30.0</v>
      </c>
      <c r="J59" s="5">
        <v>49.0</v>
      </c>
      <c r="K59" s="5">
        <v>42.0</v>
      </c>
      <c r="L59" s="5">
        <f t="shared" si="4"/>
        <v>25.2</v>
      </c>
      <c r="M59" s="5">
        <f t="shared" si="7"/>
        <v>26</v>
      </c>
      <c r="N59" s="6">
        <f t="shared" ref="N59:O59" si="64">SUM(D59+G59+K59)/3</f>
        <v>44.66666667</v>
      </c>
      <c r="O59" s="6">
        <f t="shared" si="64"/>
        <v>26.8</v>
      </c>
      <c r="P59" s="5">
        <v>10.0</v>
      </c>
      <c r="Q59" s="5">
        <v>10.0</v>
      </c>
      <c r="R59" s="6">
        <f t="shared" si="6"/>
        <v>46.8</v>
      </c>
      <c r="S59" s="4">
        <f t="shared" si="9"/>
        <v>47</v>
      </c>
      <c r="T59" s="4"/>
      <c r="U59" s="4"/>
      <c r="V59" s="4"/>
      <c r="W59" s="4"/>
      <c r="X59" s="4"/>
      <c r="Y59" s="4"/>
      <c r="Z59" s="4"/>
    </row>
    <row r="60" ht="14.25" customHeight="1">
      <c r="A60" s="7">
        <v>58.0</v>
      </c>
      <c r="B60" s="8" t="s">
        <v>130</v>
      </c>
      <c r="C60" s="9" t="s">
        <v>131</v>
      </c>
      <c r="D60" s="5">
        <v>47.0</v>
      </c>
      <c r="E60" s="5">
        <f t="shared" si="2"/>
        <v>28.2</v>
      </c>
      <c r="F60" s="5">
        <v>29.0</v>
      </c>
      <c r="G60" s="5">
        <v>48.0</v>
      </c>
      <c r="H60" s="5">
        <f t="shared" si="3"/>
        <v>28.8</v>
      </c>
      <c r="I60" s="5">
        <v>29.0</v>
      </c>
      <c r="J60" s="5">
        <v>48.0</v>
      </c>
      <c r="K60" s="5">
        <v>50.0</v>
      </c>
      <c r="L60" s="5">
        <f t="shared" si="4"/>
        <v>30</v>
      </c>
      <c r="M60" s="5">
        <f t="shared" si="7"/>
        <v>30</v>
      </c>
      <c r="N60" s="6">
        <f t="shared" ref="N60:O60" si="65">SUM(D60+G60+K60)/3</f>
        <v>48.33333333</v>
      </c>
      <c r="O60" s="6">
        <f t="shared" si="65"/>
        <v>29</v>
      </c>
      <c r="P60" s="5">
        <v>10.0</v>
      </c>
      <c r="Q60" s="5">
        <v>10.0</v>
      </c>
      <c r="R60" s="6">
        <f t="shared" si="6"/>
        <v>49</v>
      </c>
      <c r="S60" s="4">
        <f t="shared" si="9"/>
        <v>49</v>
      </c>
      <c r="T60" s="4"/>
      <c r="U60" s="4"/>
      <c r="V60" s="4"/>
      <c r="W60" s="4"/>
      <c r="X60" s="4"/>
      <c r="Y60" s="4"/>
      <c r="Z60" s="4"/>
    </row>
    <row r="61" ht="14.25" customHeight="1">
      <c r="A61" s="7">
        <v>59.0</v>
      </c>
      <c r="B61" s="8" t="s">
        <v>132</v>
      </c>
      <c r="C61" s="9" t="s">
        <v>133</v>
      </c>
      <c r="D61" s="5">
        <v>0.0</v>
      </c>
      <c r="E61" s="5">
        <f t="shared" si="2"/>
        <v>0</v>
      </c>
      <c r="F61" s="5">
        <v>0.0</v>
      </c>
      <c r="G61" s="5">
        <v>19.0</v>
      </c>
      <c r="H61" s="5">
        <f t="shared" si="3"/>
        <v>11.4</v>
      </c>
      <c r="I61" s="5">
        <v>12.0</v>
      </c>
      <c r="J61" s="5">
        <v>19.0</v>
      </c>
      <c r="K61" s="5">
        <v>44.0</v>
      </c>
      <c r="L61" s="5">
        <f t="shared" si="4"/>
        <v>26.4</v>
      </c>
      <c r="M61" s="5">
        <f t="shared" si="7"/>
        <v>27</v>
      </c>
      <c r="N61" s="6">
        <f t="shared" ref="N61:O61" si="66">SUM(D61+G61+K61)/3</f>
        <v>21</v>
      </c>
      <c r="O61" s="6">
        <f t="shared" si="66"/>
        <v>12.6</v>
      </c>
      <c r="P61" s="5">
        <v>10.0</v>
      </c>
      <c r="Q61" s="5">
        <v>10.0</v>
      </c>
      <c r="R61" s="6">
        <f t="shared" si="6"/>
        <v>32.6</v>
      </c>
      <c r="S61" s="4">
        <f t="shared" si="9"/>
        <v>33</v>
      </c>
      <c r="T61" s="4"/>
      <c r="U61" s="4"/>
      <c r="V61" s="4"/>
      <c r="W61" s="4"/>
      <c r="X61" s="4"/>
      <c r="Y61" s="4"/>
      <c r="Z61" s="4"/>
    </row>
    <row r="62" ht="14.25" customHeight="1">
      <c r="A62" s="7">
        <v>60.0</v>
      </c>
      <c r="B62" s="8" t="s">
        <v>134</v>
      </c>
      <c r="C62" s="9" t="s">
        <v>135</v>
      </c>
      <c r="D62" s="5">
        <v>35.0</v>
      </c>
      <c r="E62" s="5">
        <f t="shared" si="2"/>
        <v>21</v>
      </c>
      <c r="F62" s="5">
        <v>21.0</v>
      </c>
      <c r="G62" s="5">
        <v>44.0</v>
      </c>
      <c r="H62" s="5">
        <f t="shared" si="3"/>
        <v>26.4</v>
      </c>
      <c r="I62" s="5">
        <v>27.0</v>
      </c>
      <c r="J62" s="5">
        <v>44.0</v>
      </c>
      <c r="K62" s="5">
        <v>43.0</v>
      </c>
      <c r="L62" s="5">
        <f t="shared" si="4"/>
        <v>25.8</v>
      </c>
      <c r="M62" s="5">
        <f t="shared" si="7"/>
        <v>26</v>
      </c>
      <c r="N62" s="6">
        <f t="shared" ref="N62:O62" si="67">SUM(D62+G62+K62)/3</f>
        <v>40.66666667</v>
      </c>
      <c r="O62" s="6">
        <f t="shared" si="67"/>
        <v>24.4</v>
      </c>
      <c r="P62" s="5">
        <v>10.0</v>
      </c>
      <c r="Q62" s="5">
        <v>10.0</v>
      </c>
      <c r="R62" s="6">
        <f t="shared" si="6"/>
        <v>44.4</v>
      </c>
      <c r="S62" s="4">
        <f t="shared" si="9"/>
        <v>45</v>
      </c>
      <c r="T62" s="4"/>
      <c r="U62" s="4"/>
      <c r="V62" s="4"/>
      <c r="W62" s="4"/>
      <c r="X62" s="4"/>
      <c r="Y62" s="4"/>
      <c r="Z62" s="4"/>
    </row>
    <row r="63" ht="14.25" customHeight="1">
      <c r="A63" s="7">
        <v>61.0</v>
      </c>
      <c r="B63" s="8" t="s">
        <v>136</v>
      </c>
      <c r="C63" s="9" t="s">
        <v>137</v>
      </c>
      <c r="D63" s="5">
        <v>46.0</v>
      </c>
      <c r="E63" s="5">
        <f t="shared" si="2"/>
        <v>27.6</v>
      </c>
      <c r="F63" s="5">
        <v>28.0</v>
      </c>
      <c r="G63" s="5">
        <v>47.0</v>
      </c>
      <c r="H63" s="5">
        <f t="shared" si="3"/>
        <v>28.2</v>
      </c>
      <c r="I63" s="5">
        <v>29.0</v>
      </c>
      <c r="J63" s="5">
        <v>47.0</v>
      </c>
      <c r="K63" s="5">
        <v>47.0</v>
      </c>
      <c r="L63" s="5">
        <f t="shared" si="4"/>
        <v>28.2</v>
      </c>
      <c r="M63" s="5">
        <f t="shared" si="7"/>
        <v>29</v>
      </c>
      <c r="N63" s="6">
        <f t="shared" ref="N63:O63" si="68">SUM(D63+G63+K63)/3</f>
        <v>46.66666667</v>
      </c>
      <c r="O63" s="6">
        <f t="shared" si="68"/>
        <v>28</v>
      </c>
      <c r="P63" s="5">
        <v>10.0</v>
      </c>
      <c r="Q63" s="5">
        <v>10.0</v>
      </c>
      <c r="R63" s="6">
        <f t="shared" si="6"/>
        <v>48</v>
      </c>
      <c r="S63" s="4">
        <f t="shared" si="9"/>
        <v>48</v>
      </c>
      <c r="T63" s="4"/>
      <c r="U63" s="4"/>
      <c r="V63" s="4"/>
      <c r="W63" s="4"/>
      <c r="X63" s="4"/>
      <c r="Y63" s="4"/>
      <c r="Z63" s="4"/>
    </row>
    <row r="64" ht="14.25" customHeight="1">
      <c r="A64" s="7">
        <v>62.0</v>
      </c>
      <c r="B64" s="8" t="s">
        <v>138</v>
      </c>
      <c r="C64" s="9" t="s">
        <v>139</v>
      </c>
      <c r="D64" s="5">
        <v>25.0</v>
      </c>
      <c r="E64" s="5">
        <f t="shared" si="2"/>
        <v>15</v>
      </c>
      <c r="F64" s="5">
        <v>15.0</v>
      </c>
      <c r="G64" s="5">
        <v>15.0</v>
      </c>
      <c r="H64" s="5">
        <f t="shared" si="3"/>
        <v>9</v>
      </c>
      <c r="I64" s="5">
        <v>9.0</v>
      </c>
      <c r="J64" s="5">
        <v>15.0</v>
      </c>
      <c r="K64" s="5">
        <v>20.0</v>
      </c>
      <c r="L64" s="5">
        <f t="shared" si="4"/>
        <v>12</v>
      </c>
      <c r="M64" s="5">
        <f t="shared" si="7"/>
        <v>12</v>
      </c>
      <c r="N64" s="6">
        <f t="shared" ref="N64:O64" si="69">SUM(D64+G64+K64)/3</f>
        <v>20</v>
      </c>
      <c r="O64" s="6">
        <f t="shared" si="69"/>
        <v>12</v>
      </c>
      <c r="P64" s="5">
        <v>10.0</v>
      </c>
      <c r="Q64" s="5">
        <v>10.0</v>
      </c>
      <c r="R64" s="6">
        <f t="shared" si="6"/>
        <v>32</v>
      </c>
      <c r="S64" s="4">
        <f t="shared" si="9"/>
        <v>32</v>
      </c>
      <c r="T64" s="4"/>
      <c r="U64" s="4"/>
      <c r="V64" s="4"/>
      <c r="W64" s="4"/>
      <c r="X64" s="4"/>
      <c r="Y64" s="4"/>
      <c r="Z64" s="4"/>
    </row>
    <row r="65" ht="14.25" customHeight="1">
      <c r="A65" s="7">
        <v>63.0</v>
      </c>
      <c r="B65" s="8" t="s">
        <v>140</v>
      </c>
      <c r="C65" s="9" t="s">
        <v>141</v>
      </c>
      <c r="D65" s="5">
        <v>10.0</v>
      </c>
      <c r="E65" s="5">
        <f t="shared" si="2"/>
        <v>6</v>
      </c>
      <c r="F65" s="5">
        <v>6.0</v>
      </c>
      <c r="G65" s="5">
        <v>20.0</v>
      </c>
      <c r="H65" s="5">
        <f t="shared" si="3"/>
        <v>12</v>
      </c>
      <c r="I65" s="5">
        <v>12.0</v>
      </c>
      <c r="J65" s="5">
        <v>20.0</v>
      </c>
      <c r="K65" s="5">
        <v>30.0</v>
      </c>
      <c r="L65" s="5">
        <f t="shared" si="4"/>
        <v>18</v>
      </c>
      <c r="M65" s="5">
        <f t="shared" si="7"/>
        <v>18</v>
      </c>
      <c r="N65" s="6">
        <f t="shared" ref="N65:O65" si="70">SUM(D65+G65+K65)/3</f>
        <v>20</v>
      </c>
      <c r="O65" s="6">
        <f t="shared" si="70"/>
        <v>12</v>
      </c>
      <c r="P65" s="5">
        <v>10.0</v>
      </c>
      <c r="Q65" s="5">
        <v>10.0</v>
      </c>
      <c r="R65" s="6">
        <f t="shared" si="6"/>
        <v>32</v>
      </c>
      <c r="S65" s="4">
        <f t="shared" si="9"/>
        <v>32</v>
      </c>
      <c r="T65" s="4"/>
      <c r="U65" s="4"/>
      <c r="V65" s="4"/>
      <c r="W65" s="4"/>
      <c r="X65" s="4"/>
      <c r="Y65" s="4"/>
      <c r="Z65" s="4"/>
    </row>
    <row r="66" ht="14.25" customHeight="1">
      <c r="A66" s="7">
        <v>64.0</v>
      </c>
      <c r="B66" s="8" t="s">
        <v>142</v>
      </c>
      <c r="C66" s="9" t="s">
        <v>143</v>
      </c>
      <c r="D66" s="5">
        <v>11.0</v>
      </c>
      <c r="E66" s="5">
        <f t="shared" si="2"/>
        <v>6.6</v>
      </c>
      <c r="F66" s="5">
        <v>7.0</v>
      </c>
      <c r="G66" s="5">
        <v>20.0</v>
      </c>
      <c r="H66" s="5">
        <f t="shared" si="3"/>
        <v>12</v>
      </c>
      <c r="I66" s="5">
        <v>12.0</v>
      </c>
      <c r="J66" s="5">
        <v>20.0</v>
      </c>
      <c r="K66" s="5">
        <v>32.0</v>
      </c>
      <c r="L66" s="5">
        <f t="shared" si="4"/>
        <v>19.2</v>
      </c>
      <c r="M66" s="5">
        <f t="shared" si="7"/>
        <v>20</v>
      </c>
      <c r="N66" s="6">
        <f t="shared" ref="N66:O66" si="71">SUM(D66+G66+K66)/3</f>
        <v>21</v>
      </c>
      <c r="O66" s="6">
        <f t="shared" si="71"/>
        <v>12.6</v>
      </c>
      <c r="P66" s="5">
        <v>10.0</v>
      </c>
      <c r="Q66" s="5">
        <v>10.0</v>
      </c>
      <c r="R66" s="6">
        <f t="shared" si="6"/>
        <v>32.6</v>
      </c>
      <c r="S66" s="4">
        <f t="shared" si="9"/>
        <v>33</v>
      </c>
      <c r="T66" s="4"/>
      <c r="U66" s="4"/>
      <c r="V66" s="4"/>
      <c r="W66" s="4"/>
      <c r="X66" s="4"/>
      <c r="Y66" s="4"/>
      <c r="Z66" s="4"/>
    </row>
    <row r="67" ht="14.25" customHeight="1">
      <c r="A67" s="7">
        <v>65.0</v>
      </c>
      <c r="B67" s="8" t="s">
        <v>144</v>
      </c>
      <c r="C67" s="9" t="s">
        <v>145</v>
      </c>
      <c r="D67" s="5">
        <v>50.0</v>
      </c>
      <c r="E67" s="5">
        <f t="shared" si="2"/>
        <v>30</v>
      </c>
      <c r="F67" s="5">
        <v>30.0</v>
      </c>
      <c r="G67" s="5">
        <v>50.0</v>
      </c>
      <c r="H67" s="5">
        <f t="shared" si="3"/>
        <v>30</v>
      </c>
      <c r="I67" s="5">
        <v>30.0</v>
      </c>
      <c r="J67" s="5">
        <v>50.0</v>
      </c>
      <c r="K67" s="5">
        <v>50.0</v>
      </c>
      <c r="L67" s="5">
        <f t="shared" si="4"/>
        <v>30</v>
      </c>
      <c r="M67" s="5">
        <f t="shared" si="7"/>
        <v>30</v>
      </c>
      <c r="N67" s="6">
        <f t="shared" ref="N67:O67" si="72">SUM(D67+G67+K67)/3</f>
        <v>50</v>
      </c>
      <c r="O67" s="6">
        <f t="shared" si="72"/>
        <v>30</v>
      </c>
      <c r="P67" s="5">
        <v>10.0</v>
      </c>
      <c r="Q67" s="5">
        <v>10.0</v>
      </c>
      <c r="R67" s="6">
        <f t="shared" si="6"/>
        <v>50</v>
      </c>
      <c r="S67" s="4">
        <f t="shared" si="9"/>
        <v>50</v>
      </c>
      <c r="T67" s="4"/>
      <c r="U67" s="4"/>
      <c r="V67" s="4"/>
      <c r="W67" s="4"/>
      <c r="X67" s="4"/>
      <c r="Y67" s="4"/>
      <c r="Z67" s="4"/>
    </row>
    <row r="68" ht="14.25" customHeight="1">
      <c r="A68" s="7">
        <v>66.0</v>
      </c>
      <c r="B68" s="8" t="s">
        <v>146</v>
      </c>
      <c r="C68" s="9" t="s">
        <v>147</v>
      </c>
      <c r="D68" s="5">
        <v>40.0</v>
      </c>
      <c r="E68" s="5">
        <f t="shared" si="2"/>
        <v>24</v>
      </c>
      <c r="F68" s="5">
        <v>24.0</v>
      </c>
      <c r="G68" s="5">
        <v>26.0</v>
      </c>
      <c r="H68" s="5">
        <f t="shared" si="3"/>
        <v>15.6</v>
      </c>
      <c r="I68" s="5">
        <v>16.0</v>
      </c>
      <c r="J68" s="5">
        <v>26.0</v>
      </c>
      <c r="K68" s="5">
        <v>25.0</v>
      </c>
      <c r="L68" s="5">
        <f t="shared" si="4"/>
        <v>15</v>
      </c>
      <c r="M68" s="5">
        <f t="shared" si="7"/>
        <v>15</v>
      </c>
      <c r="N68" s="6">
        <f t="shared" ref="N68:O68" si="73">SUM(D68+G68+K68)/3</f>
        <v>30.33333333</v>
      </c>
      <c r="O68" s="6">
        <f t="shared" si="73"/>
        <v>18.2</v>
      </c>
      <c r="P68" s="5">
        <v>10.0</v>
      </c>
      <c r="Q68" s="5">
        <v>10.0</v>
      </c>
      <c r="R68" s="6">
        <f t="shared" si="6"/>
        <v>38.2</v>
      </c>
      <c r="S68" s="4">
        <f t="shared" si="9"/>
        <v>39</v>
      </c>
      <c r="T68" s="4"/>
      <c r="U68" s="4"/>
      <c r="V68" s="4"/>
      <c r="W68" s="4"/>
      <c r="X68" s="4"/>
      <c r="Y68" s="4"/>
      <c r="Z68" s="4"/>
    </row>
    <row r="69" ht="14.25" customHeight="1">
      <c r="A69" s="7">
        <v>67.0</v>
      </c>
      <c r="B69" s="8" t="s">
        <v>148</v>
      </c>
      <c r="C69" s="9" t="s">
        <v>149</v>
      </c>
      <c r="D69" s="5">
        <v>10.0</v>
      </c>
      <c r="E69" s="5">
        <f t="shared" si="2"/>
        <v>6</v>
      </c>
      <c r="F69" s="5">
        <v>6.0</v>
      </c>
      <c r="G69" s="5">
        <v>27.0</v>
      </c>
      <c r="H69" s="5">
        <f t="shared" si="3"/>
        <v>16.2</v>
      </c>
      <c r="I69" s="5">
        <v>17.0</v>
      </c>
      <c r="J69" s="5">
        <v>27.0</v>
      </c>
      <c r="K69" s="5">
        <v>25.0</v>
      </c>
      <c r="L69" s="5">
        <f t="shared" si="4"/>
        <v>15</v>
      </c>
      <c r="M69" s="5">
        <f t="shared" si="7"/>
        <v>15</v>
      </c>
      <c r="N69" s="6">
        <f t="shared" ref="N69:O69" si="74">SUM(D69+G69+K69)/3</f>
        <v>20.66666667</v>
      </c>
      <c r="O69" s="6">
        <f t="shared" si="74"/>
        <v>12.4</v>
      </c>
      <c r="P69" s="5">
        <v>10.0</v>
      </c>
      <c r="Q69" s="5">
        <v>10.0</v>
      </c>
      <c r="R69" s="6">
        <f t="shared" si="6"/>
        <v>32.4</v>
      </c>
      <c r="S69" s="4">
        <f t="shared" si="9"/>
        <v>33</v>
      </c>
      <c r="T69" s="4"/>
      <c r="U69" s="4"/>
      <c r="V69" s="4"/>
      <c r="W69" s="4"/>
      <c r="X69" s="4"/>
      <c r="Y69" s="4"/>
      <c r="Z69" s="4"/>
    </row>
    <row r="70" ht="14.25" customHeight="1">
      <c r="A70" s="4"/>
      <c r="B70" s="4"/>
      <c r="C70" s="4"/>
      <c r="D70" s="4"/>
      <c r="E70" s="4"/>
      <c r="F70" s="4"/>
      <c r="G70" s="4"/>
      <c r="H70" s="4"/>
      <c r="I70" s="4"/>
      <c r="J70" s="4"/>
      <c r="K70" s="4"/>
      <c r="L70" s="4"/>
      <c r="M70" s="4"/>
      <c r="N70" s="15"/>
      <c r="O70" s="15"/>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15"/>
      <c r="O71" s="15"/>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15"/>
      <c r="O72" s="15"/>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15"/>
      <c r="O73" s="15"/>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15"/>
      <c r="O74" s="15"/>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15"/>
      <c r="O75" s="15"/>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15"/>
      <c r="O76" s="15"/>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15"/>
      <c r="O77" s="15"/>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15"/>
      <c r="O78" s="15"/>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15"/>
      <c r="O79" s="15"/>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15"/>
      <c r="O80" s="15"/>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15"/>
      <c r="O81" s="15"/>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15"/>
      <c r="O82" s="15"/>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15"/>
      <c r="O83" s="15"/>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15"/>
      <c r="O84" s="15"/>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15"/>
      <c r="O85" s="15"/>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15"/>
      <c r="O86" s="15"/>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15"/>
      <c r="O87" s="15"/>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15"/>
      <c r="O88" s="15"/>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15"/>
      <c r="O89" s="15"/>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15"/>
      <c r="O90" s="15"/>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15"/>
      <c r="O91" s="15"/>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15"/>
      <c r="O92" s="15"/>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15"/>
      <c r="O93" s="15"/>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15"/>
      <c r="O94" s="15"/>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15"/>
      <c r="O95" s="15"/>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15"/>
      <c r="O96" s="15"/>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15"/>
      <c r="O97" s="15"/>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15"/>
      <c r="O98" s="15"/>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15"/>
      <c r="O99" s="15"/>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15"/>
      <c r="O100" s="15"/>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15"/>
      <c r="O101" s="15"/>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15"/>
      <c r="O102" s="15"/>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15"/>
      <c r="O103" s="15"/>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15"/>
      <c r="O104" s="15"/>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15"/>
      <c r="O105" s="15"/>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15"/>
      <c r="O106" s="15"/>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15"/>
      <c r="O107" s="15"/>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15"/>
      <c r="O108" s="15"/>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15"/>
      <c r="O109" s="15"/>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15"/>
      <c r="O110" s="15"/>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15"/>
      <c r="O111" s="15"/>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15"/>
      <c r="O112" s="15"/>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15"/>
      <c r="O113" s="15"/>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15"/>
      <c r="O114" s="15"/>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15"/>
      <c r="O115" s="15"/>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15"/>
      <c r="O116" s="15"/>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15"/>
      <c r="O117" s="15"/>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15"/>
      <c r="O118" s="15"/>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15"/>
      <c r="O119" s="15"/>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15"/>
      <c r="O120" s="15"/>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15"/>
      <c r="O121" s="15"/>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15"/>
      <c r="O122" s="15"/>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15"/>
      <c r="O123" s="15"/>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15"/>
      <c r="O124" s="15"/>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15"/>
      <c r="O125" s="15"/>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15"/>
      <c r="O126" s="15"/>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15"/>
      <c r="O127" s="15"/>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15"/>
      <c r="O128" s="15"/>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15"/>
      <c r="O129" s="15"/>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15"/>
      <c r="O130" s="15"/>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15"/>
      <c r="O131" s="15"/>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15"/>
      <c r="O132" s="15"/>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15"/>
      <c r="O133" s="15"/>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15"/>
      <c r="O134" s="15"/>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15"/>
      <c r="O135" s="15"/>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15"/>
      <c r="O136" s="15"/>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15"/>
      <c r="O137" s="15"/>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15"/>
      <c r="O138" s="15"/>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15"/>
      <c r="O139" s="15"/>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15"/>
      <c r="O140" s="15"/>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15"/>
      <c r="O141" s="15"/>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15"/>
      <c r="O142" s="15"/>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15"/>
      <c r="O143" s="15"/>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15"/>
      <c r="O144" s="15"/>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15"/>
      <c r="O145" s="15"/>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15"/>
      <c r="O146" s="15"/>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15"/>
      <c r="O147" s="15"/>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15"/>
      <c r="O148" s="15"/>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15"/>
      <c r="O149" s="15"/>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15"/>
      <c r="O150" s="15"/>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15"/>
      <c r="O151" s="15"/>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15"/>
      <c r="O152" s="15"/>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15"/>
      <c r="O153" s="15"/>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15"/>
      <c r="O154" s="15"/>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15"/>
      <c r="O155" s="15"/>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15"/>
      <c r="O156" s="15"/>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15"/>
      <c r="O157" s="15"/>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15"/>
      <c r="O158" s="15"/>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15"/>
      <c r="O159" s="15"/>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15"/>
      <c r="O160" s="15"/>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15"/>
      <c r="O161" s="15"/>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15"/>
      <c r="O162" s="15"/>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15"/>
      <c r="O163" s="15"/>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15"/>
      <c r="O164" s="15"/>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15"/>
      <c r="O165" s="15"/>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15"/>
      <c r="O166" s="15"/>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15"/>
      <c r="O167" s="15"/>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15"/>
      <c r="O168" s="15"/>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15"/>
      <c r="O169" s="15"/>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15"/>
      <c r="O170" s="15"/>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15"/>
      <c r="O171" s="15"/>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15"/>
      <c r="O172" s="15"/>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15"/>
      <c r="O173" s="15"/>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15"/>
      <c r="O174" s="15"/>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15"/>
      <c r="O175" s="15"/>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15"/>
      <c r="O176" s="15"/>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15"/>
      <c r="O177" s="15"/>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15"/>
      <c r="O178" s="15"/>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15"/>
      <c r="O179" s="15"/>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15"/>
      <c r="O180" s="15"/>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15"/>
      <c r="O181" s="15"/>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15"/>
      <c r="O182" s="15"/>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15"/>
      <c r="O183" s="15"/>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15"/>
      <c r="O184" s="15"/>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15"/>
      <c r="O185" s="15"/>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15"/>
      <c r="O186" s="15"/>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15"/>
      <c r="O187" s="15"/>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15"/>
      <c r="O188" s="15"/>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15"/>
      <c r="O189" s="15"/>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15"/>
      <c r="O190" s="15"/>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15"/>
      <c r="O191" s="15"/>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15"/>
      <c r="O192" s="15"/>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15"/>
      <c r="O193" s="15"/>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15"/>
      <c r="O194" s="15"/>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15"/>
      <c r="O195" s="15"/>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15"/>
      <c r="O196" s="15"/>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15"/>
      <c r="O197" s="15"/>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15"/>
      <c r="O198" s="15"/>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15"/>
      <c r="O199" s="15"/>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15"/>
      <c r="O200" s="15"/>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15"/>
      <c r="O201" s="15"/>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15"/>
      <c r="O202" s="15"/>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15"/>
      <c r="O203" s="15"/>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15"/>
      <c r="O204" s="15"/>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15"/>
      <c r="O205" s="15"/>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15"/>
      <c r="O206" s="15"/>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15"/>
      <c r="O207" s="15"/>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15"/>
      <c r="O208" s="15"/>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15"/>
      <c r="O209" s="15"/>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15"/>
      <c r="O210" s="15"/>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15"/>
      <c r="O211" s="15"/>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15"/>
      <c r="O212" s="15"/>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15"/>
      <c r="O213" s="15"/>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15"/>
      <c r="O214" s="15"/>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15"/>
      <c r="O215" s="15"/>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15"/>
      <c r="O216" s="15"/>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15"/>
      <c r="O217" s="15"/>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15"/>
      <c r="O218" s="15"/>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15"/>
      <c r="O219" s="15"/>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15"/>
      <c r="O220" s="15"/>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15"/>
      <c r="O221" s="15"/>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15"/>
      <c r="O222" s="15"/>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15"/>
      <c r="O223" s="15"/>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15"/>
      <c r="O224" s="15"/>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15"/>
      <c r="O225" s="15"/>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15"/>
      <c r="O226" s="15"/>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15"/>
      <c r="O227" s="15"/>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15"/>
      <c r="O228" s="15"/>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15"/>
      <c r="O229" s="15"/>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15"/>
      <c r="O230" s="15"/>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15"/>
      <c r="O231" s="15"/>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15"/>
      <c r="O232" s="15"/>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15"/>
      <c r="O233" s="15"/>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15"/>
      <c r="O234" s="15"/>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15"/>
      <c r="O235" s="15"/>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15"/>
      <c r="O236" s="15"/>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15"/>
      <c r="O237" s="15"/>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15"/>
      <c r="O238" s="15"/>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15"/>
      <c r="O239" s="15"/>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15"/>
      <c r="O240" s="15"/>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15"/>
      <c r="O241" s="15"/>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15"/>
      <c r="O242" s="15"/>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15"/>
      <c r="O243" s="15"/>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15"/>
      <c r="O244" s="15"/>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15"/>
      <c r="O245" s="15"/>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15"/>
      <c r="O246" s="15"/>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15"/>
      <c r="O247" s="15"/>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15"/>
      <c r="O248" s="15"/>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15"/>
      <c r="O249" s="15"/>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15"/>
      <c r="O250" s="15"/>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15"/>
      <c r="O251" s="15"/>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15"/>
      <c r="O252" s="15"/>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15"/>
      <c r="O253" s="15"/>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15"/>
      <c r="O254" s="15"/>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15"/>
      <c r="O255" s="15"/>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15"/>
      <c r="O256" s="15"/>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15"/>
      <c r="O257" s="15"/>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15"/>
      <c r="O258" s="15"/>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15"/>
      <c r="O259" s="15"/>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15"/>
      <c r="O260" s="15"/>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15"/>
      <c r="O261" s="15"/>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15"/>
      <c r="O262" s="15"/>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15"/>
      <c r="O263" s="15"/>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15"/>
      <c r="O264" s="15"/>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15"/>
      <c r="O265" s="15"/>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15"/>
      <c r="O266" s="15"/>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15"/>
      <c r="O267" s="15"/>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15"/>
      <c r="O268" s="15"/>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15"/>
      <c r="O269" s="15"/>
      <c r="P269" s="4"/>
      <c r="Q269" s="4"/>
      <c r="R269" s="4"/>
      <c r="S269" s="4"/>
      <c r="T269" s="4"/>
      <c r="U269" s="4"/>
      <c r="V269" s="4"/>
      <c r="W269" s="4"/>
      <c r="X269" s="4"/>
      <c r="Y269" s="4"/>
      <c r="Z269" s="4"/>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1.43"/>
    <col customWidth="1" min="2" max="2" width="14.43"/>
    <col customWidth="1" min="3" max="3" width="24.14"/>
    <col customWidth="1" min="4" max="4" width="29.86"/>
    <col customWidth="1" min="5" max="5" width="27.57"/>
    <col customWidth="1" min="6" max="6" width="18.0"/>
    <col customWidth="1" min="7" max="22" width="14.43"/>
  </cols>
  <sheetData>
    <row r="1" ht="15.0" customHeight="1">
      <c r="A1" s="16"/>
      <c r="B1" s="17"/>
      <c r="C1" s="17"/>
      <c r="D1" s="17"/>
      <c r="E1" s="17"/>
      <c r="F1" s="17"/>
      <c r="G1" s="18"/>
      <c r="H1" s="18"/>
      <c r="I1" s="18"/>
      <c r="J1" s="18"/>
      <c r="K1" s="18"/>
      <c r="L1" s="18"/>
      <c r="M1" s="18"/>
      <c r="N1" s="18"/>
      <c r="O1" s="18"/>
      <c r="P1" s="18"/>
      <c r="Q1" s="18"/>
      <c r="R1" s="18"/>
      <c r="S1" s="18"/>
      <c r="T1" s="18"/>
      <c r="U1" s="18"/>
      <c r="V1" s="18"/>
      <c r="W1" s="18"/>
      <c r="X1" s="18"/>
      <c r="Y1" s="18"/>
      <c r="Z1" s="18"/>
    </row>
    <row r="2" ht="26.25" customHeight="1">
      <c r="A2" s="16"/>
      <c r="B2" s="17" t="s">
        <v>150</v>
      </c>
      <c r="G2" s="18"/>
      <c r="H2" s="18"/>
      <c r="I2" s="18"/>
      <c r="J2" s="18"/>
      <c r="K2" s="18"/>
      <c r="L2" s="18"/>
      <c r="M2" s="18"/>
      <c r="N2" s="18"/>
      <c r="O2" s="18"/>
      <c r="P2" s="18"/>
      <c r="Q2" s="18"/>
      <c r="R2" s="18"/>
      <c r="S2" s="18"/>
      <c r="T2" s="18"/>
      <c r="U2" s="18"/>
      <c r="V2" s="18"/>
      <c r="W2" s="18"/>
      <c r="X2" s="18"/>
      <c r="Y2" s="18"/>
      <c r="Z2" s="18"/>
    </row>
    <row r="3" ht="26.25" customHeight="1">
      <c r="A3" s="16"/>
      <c r="B3" s="19" t="s">
        <v>151</v>
      </c>
      <c r="G3" s="18"/>
      <c r="H3" s="18"/>
      <c r="I3" s="18"/>
      <c r="J3" s="18"/>
      <c r="K3" s="18"/>
      <c r="L3" s="18"/>
      <c r="M3" s="18"/>
      <c r="N3" s="18"/>
      <c r="O3" s="18"/>
      <c r="P3" s="18"/>
      <c r="Q3" s="18"/>
      <c r="R3" s="18"/>
      <c r="S3" s="18"/>
      <c r="T3" s="18"/>
      <c r="U3" s="18"/>
      <c r="V3" s="18"/>
      <c r="W3" s="18"/>
      <c r="X3" s="18"/>
      <c r="Y3" s="18"/>
      <c r="Z3" s="18"/>
    </row>
    <row r="4" ht="24.75" customHeight="1">
      <c r="A4" s="16"/>
      <c r="B4" s="20" t="s">
        <v>152</v>
      </c>
      <c r="G4" s="18"/>
      <c r="H4" s="18"/>
      <c r="I4" s="18"/>
      <c r="J4" s="18"/>
      <c r="K4" s="18"/>
      <c r="L4" s="18"/>
      <c r="M4" s="18"/>
      <c r="N4" s="18"/>
      <c r="O4" s="18"/>
      <c r="P4" s="18"/>
      <c r="Q4" s="18"/>
      <c r="R4" s="18"/>
      <c r="S4" s="18"/>
      <c r="T4" s="18"/>
      <c r="U4" s="18"/>
      <c r="V4" s="18"/>
      <c r="W4" s="18"/>
      <c r="X4" s="18"/>
      <c r="Y4" s="18"/>
      <c r="Z4" s="18"/>
    </row>
    <row r="5" ht="15.0" customHeight="1">
      <c r="A5" s="16"/>
      <c r="B5" s="20"/>
      <c r="C5" s="18"/>
      <c r="D5" s="18"/>
      <c r="E5" s="18"/>
      <c r="F5" s="18"/>
      <c r="G5" s="18"/>
      <c r="H5" s="18"/>
      <c r="I5" s="18"/>
      <c r="J5" s="18"/>
      <c r="K5" s="18"/>
      <c r="L5" s="18"/>
      <c r="M5" s="18"/>
      <c r="N5" s="18"/>
      <c r="O5" s="18"/>
      <c r="P5" s="18"/>
      <c r="Q5" s="18"/>
      <c r="R5" s="18"/>
      <c r="S5" s="18"/>
      <c r="T5" s="18"/>
      <c r="U5" s="18"/>
      <c r="V5" s="18"/>
      <c r="W5" s="18"/>
      <c r="X5" s="18"/>
      <c r="Y5" s="18"/>
      <c r="Z5" s="18"/>
    </row>
    <row r="6" ht="15.0" customHeight="1">
      <c r="A6" s="18"/>
      <c r="B6" s="21"/>
      <c r="G6" s="18"/>
      <c r="H6" s="18"/>
      <c r="I6" s="18"/>
      <c r="J6" s="18"/>
      <c r="K6" s="18"/>
      <c r="L6" s="18"/>
      <c r="M6" s="18"/>
      <c r="N6" s="18"/>
      <c r="O6" s="18"/>
      <c r="P6" s="18"/>
      <c r="Q6" s="18"/>
      <c r="R6" s="18"/>
      <c r="S6" s="18"/>
      <c r="T6" s="18"/>
      <c r="U6" s="18"/>
      <c r="V6" s="18"/>
      <c r="W6" s="18"/>
      <c r="X6" s="18"/>
      <c r="Y6" s="18"/>
      <c r="Z6" s="18"/>
    </row>
    <row r="7" ht="30.0" customHeight="1">
      <c r="A7" s="22" t="s">
        <v>0</v>
      </c>
      <c r="B7" s="22" t="s">
        <v>1</v>
      </c>
      <c r="C7" s="23" t="s">
        <v>2</v>
      </c>
      <c r="D7" s="24" t="s">
        <v>153</v>
      </c>
      <c r="E7" s="24" t="s">
        <v>154</v>
      </c>
      <c r="F7" s="25" t="s">
        <v>155</v>
      </c>
      <c r="G7" s="26" t="s">
        <v>156</v>
      </c>
      <c r="H7" s="26" t="s">
        <v>157</v>
      </c>
      <c r="I7" s="27"/>
      <c r="J7" s="27"/>
      <c r="K7" s="27"/>
      <c r="L7" s="27"/>
      <c r="M7" s="27"/>
      <c r="N7" s="27"/>
      <c r="O7" s="27"/>
      <c r="P7" s="27"/>
      <c r="Q7" s="27"/>
      <c r="R7" s="27"/>
      <c r="S7" s="27"/>
      <c r="T7" s="27"/>
      <c r="U7" s="27"/>
      <c r="V7" s="27"/>
      <c r="W7" s="18"/>
      <c r="X7" s="18"/>
      <c r="Y7" s="18"/>
      <c r="Z7" s="18"/>
    </row>
    <row r="8">
      <c r="A8" s="28">
        <v>1.0</v>
      </c>
      <c r="B8" s="29" t="s">
        <v>16</v>
      </c>
      <c r="C8" s="30" t="s">
        <v>17</v>
      </c>
      <c r="D8" s="31" t="s">
        <v>158</v>
      </c>
      <c r="E8" s="32" t="s">
        <v>159</v>
      </c>
      <c r="F8" s="33">
        <v>40000.0</v>
      </c>
      <c r="G8" s="34" t="s">
        <v>160</v>
      </c>
      <c r="H8" s="34" t="s">
        <v>161</v>
      </c>
      <c r="I8" s="18"/>
      <c r="J8" s="18"/>
      <c r="K8" s="18"/>
      <c r="L8" s="18"/>
      <c r="M8" s="18"/>
      <c r="N8" s="18"/>
      <c r="O8" s="18"/>
      <c r="P8" s="18"/>
      <c r="Q8" s="18"/>
      <c r="R8" s="18"/>
      <c r="S8" s="18"/>
      <c r="T8" s="18"/>
      <c r="U8" s="18"/>
      <c r="V8" s="18"/>
      <c r="W8" s="18"/>
      <c r="X8" s="18"/>
      <c r="Y8" s="18"/>
      <c r="Z8" s="18"/>
    </row>
    <row r="9">
      <c r="A9" s="28">
        <v>2.0</v>
      </c>
      <c r="B9" s="29" t="s">
        <v>18</v>
      </c>
      <c r="C9" s="30" t="s">
        <v>19</v>
      </c>
      <c r="D9" s="31" t="s">
        <v>162</v>
      </c>
      <c r="E9" s="35" t="s">
        <v>163</v>
      </c>
      <c r="F9" s="33">
        <v>49627.0</v>
      </c>
      <c r="G9" s="34" t="s">
        <v>164</v>
      </c>
      <c r="H9" s="34" t="s">
        <v>165</v>
      </c>
      <c r="I9" s="18"/>
      <c r="J9" s="18"/>
      <c r="K9" s="18"/>
      <c r="L9" s="18"/>
      <c r="M9" s="18"/>
      <c r="N9" s="18"/>
      <c r="O9" s="18"/>
      <c r="P9" s="18"/>
      <c r="Q9" s="18"/>
      <c r="R9" s="18"/>
      <c r="S9" s="18"/>
      <c r="T9" s="18"/>
      <c r="U9" s="18"/>
      <c r="V9" s="18"/>
      <c r="W9" s="18"/>
      <c r="X9" s="18"/>
      <c r="Y9" s="18"/>
      <c r="Z9" s="18"/>
    </row>
    <row r="10">
      <c r="A10" s="28">
        <v>3.0</v>
      </c>
      <c r="B10" s="29" t="s">
        <v>20</v>
      </c>
      <c r="C10" s="30" t="s">
        <v>21</v>
      </c>
      <c r="D10" s="31" t="s">
        <v>166</v>
      </c>
      <c r="E10" s="35" t="s">
        <v>167</v>
      </c>
      <c r="F10" s="36" t="s">
        <v>168</v>
      </c>
      <c r="G10" s="34" t="s">
        <v>160</v>
      </c>
      <c r="H10" s="34" t="s">
        <v>161</v>
      </c>
      <c r="I10" s="18"/>
      <c r="J10" s="18"/>
      <c r="K10" s="18"/>
      <c r="L10" s="18"/>
      <c r="M10" s="18"/>
      <c r="N10" s="18"/>
      <c r="O10" s="18"/>
      <c r="P10" s="18"/>
      <c r="Q10" s="18"/>
      <c r="R10" s="18"/>
      <c r="S10" s="18"/>
      <c r="T10" s="18"/>
      <c r="U10" s="18"/>
      <c r="V10" s="18"/>
      <c r="W10" s="18"/>
      <c r="X10" s="18"/>
      <c r="Y10" s="18"/>
      <c r="Z10" s="18"/>
    </row>
    <row r="11">
      <c r="A11" s="37">
        <v>4.0</v>
      </c>
      <c r="B11" s="38" t="s">
        <v>22</v>
      </c>
      <c r="C11" s="39" t="s">
        <v>23</v>
      </c>
      <c r="D11" s="31" t="s">
        <v>169</v>
      </c>
      <c r="E11" s="35" t="s">
        <v>170</v>
      </c>
      <c r="F11" s="33">
        <v>30000.0</v>
      </c>
      <c r="G11" s="34" t="s">
        <v>171</v>
      </c>
      <c r="H11" s="34" t="s">
        <v>172</v>
      </c>
      <c r="I11" s="18"/>
      <c r="J11" s="18"/>
      <c r="K11" s="18"/>
      <c r="L11" s="18"/>
      <c r="M11" s="18"/>
      <c r="N11" s="18"/>
      <c r="O11" s="18"/>
      <c r="P11" s="18"/>
      <c r="Q11" s="18"/>
      <c r="R11" s="18"/>
      <c r="S11" s="18"/>
      <c r="T11" s="18"/>
      <c r="U11" s="18"/>
      <c r="V11" s="18"/>
      <c r="W11" s="18"/>
      <c r="X11" s="18"/>
      <c r="Y11" s="18"/>
      <c r="Z11" s="18"/>
    </row>
    <row r="12">
      <c r="A12" s="28">
        <v>5.0</v>
      </c>
      <c r="B12" s="29" t="s">
        <v>24</v>
      </c>
      <c r="C12" s="30" t="s">
        <v>25</v>
      </c>
      <c r="D12" s="31" t="s">
        <v>173</v>
      </c>
      <c r="E12" s="35" t="s">
        <v>174</v>
      </c>
      <c r="F12" s="33">
        <v>50000.0</v>
      </c>
      <c r="G12" s="34" t="s">
        <v>160</v>
      </c>
      <c r="H12" s="34" t="s">
        <v>161</v>
      </c>
      <c r="I12" s="18"/>
      <c r="J12" s="18"/>
      <c r="K12" s="18"/>
      <c r="L12" s="18"/>
      <c r="M12" s="18"/>
      <c r="N12" s="18"/>
      <c r="O12" s="18"/>
      <c r="P12" s="18"/>
      <c r="Q12" s="18"/>
      <c r="R12" s="18"/>
      <c r="S12" s="18"/>
      <c r="T12" s="18"/>
      <c r="U12" s="18"/>
      <c r="V12" s="18"/>
      <c r="W12" s="18"/>
      <c r="X12" s="18"/>
      <c r="Y12" s="18"/>
      <c r="Z12" s="18"/>
    </row>
    <row r="13">
      <c r="A13" s="28">
        <v>6.0</v>
      </c>
      <c r="B13" s="29" t="s">
        <v>26</v>
      </c>
      <c r="C13" s="30" t="s">
        <v>27</v>
      </c>
      <c r="D13" s="31" t="s">
        <v>175</v>
      </c>
      <c r="E13" s="35" t="s">
        <v>176</v>
      </c>
      <c r="F13" s="36" t="s">
        <v>168</v>
      </c>
      <c r="G13" s="34" t="s">
        <v>177</v>
      </c>
      <c r="H13" s="34" t="s">
        <v>178</v>
      </c>
      <c r="I13" s="18"/>
      <c r="J13" s="18"/>
      <c r="K13" s="18"/>
      <c r="L13" s="18"/>
      <c r="M13" s="18"/>
      <c r="N13" s="18"/>
      <c r="O13" s="18"/>
      <c r="P13" s="18"/>
      <c r="Q13" s="18"/>
      <c r="R13" s="18"/>
      <c r="S13" s="18"/>
      <c r="T13" s="18"/>
      <c r="U13" s="18"/>
      <c r="V13" s="18"/>
      <c r="W13" s="18"/>
      <c r="X13" s="18"/>
      <c r="Y13" s="18"/>
      <c r="Z13" s="18"/>
    </row>
    <row r="14">
      <c r="A14" s="28">
        <v>7.0</v>
      </c>
      <c r="B14" s="29" t="s">
        <v>28</v>
      </c>
      <c r="C14" s="30" t="s">
        <v>29</v>
      </c>
      <c r="D14" s="31" t="s">
        <v>179</v>
      </c>
      <c r="E14" s="35" t="s">
        <v>180</v>
      </c>
      <c r="F14" s="36" t="s">
        <v>168</v>
      </c>
      <c r="G14" s="34" t="s">
        <v>181</v>
      </c>
      <c r="H14" s="34" t="s">
        <v>182</v>
      </c>
      <c r="I14" s="18"/>
      <c r="J14" s="18"/>
      <c r="K14" s="18"/>
      <c r="L14" s="18"/>
      <c r="M14" s="18"/>
      <c r="N14" s="18"/>
      <c r="O14" s="18"/>
      <c r="P14" s="18"/>
      <c r="Q14" s="18"/>
      <c r="R14" s="18"/>
      <c r="S14" s="18"/>
      <c r="T14" s="18"/>
      <c r="U14" s="18"/>
      <c r="V14" s="18"/>
      <c r="W14" s="18"/>
      <c r="X14" s="18"/>
      <c r="Y14" s="18"/>
      <c r="Z14" s="18"/>
    </row>
    <row r="15">
      <c r="A15" s="28">
        <v>8.0</v>
      </c>
      <c r="B15" s="29" t="s">
        <v>30</v>
      </c>
      <c r="C15" s="30" t="s">
        <v>31</v>
      </c>
      <c r="D15" s="31" t="s">
        <v>183</v>
      </c>
      <c r="E15" s="35" t="s">
        <v>184</v>
      </c>
      <c r="F15" s="33">
        <v>15000.0</v>
      </c>
      <c r="G15" s="34" t="s">
        <v>185</v>
      </c>
      <c r="H15" s="34" t="s">
        <v>182</v>
      </c>
      <c r="I15" s="18"/>
      <c r="J15" s="18"/>
      <c r="K15" s="18"/>
      <c r="L15" s="18"/>
      <c r="M15" s="18"/>
      <c r="N15" s="18"/>
      <c r="O15" s="18"/>
      <c r="P15" s="18"/>
      <c r="Q15" s="18"/>
      <c r="R15" s="18"/>
      <c r="S15" s="18"/>
      <c r="T15" s="18"/>
      <c r="U15" s="18"/>
      <c r="V15" s="18"/>
      <c r="W15" s="18"/>
      <c r="X15" s="18"/>
      <c r="Y15" s="18"/>
      <c r="Z15" s="18"/>
    </row>
    <row r="16">
      <c r="A16" s="28">
        <v>9.0</v>
      </c>
      <c r="B16" s="29" t="s">
        <v>32</v>
      </c>
      <c r="C16" s="30" t="s">
        <v>33</v>
      </c>
      <c r="D16" s="31" t="s">
        <v>186</v>
      </c>
      <c r="E16" s="35" t="s">
        <v>187</v>
      </c>
      <c r="F16" s="33">
        <v>10000.0</v>
      </c>
      <c r="G16" s="34" t="s">
        <v>160</v>
      </c>
      <c r="H16" s="34" t="s">
        <v>172</v>
      </c>
      <c r="I16" s="18"/>
      <c r="J16" s="18"/>
      <c r="K16" s="18"/>
      <c r="L16" s="18"/>
      <c r="M16" s="18"/>
      <c r="N16" s="18"/>
      <c r="O16" s="18"/>
      <c r="P16" s="18"/>
      <c r="Q16" s="18"/>
      <c r="R16" s="18"/>
      <c r="S16" s="18"/>
      <c r="T16" s="18"/>
      <c r="U16" s="18"/>
      <c r="V16" s="18"/>
      <c r="W16" s="18"/>
      <c r="X16" s="18"/>
      <c r="Y16" s="18"/>
      <c r="Z16" s="18"/>
    </row>
    <row r="17">
      <c r="A17" s="28">
        <v>10.0</v>
      </c>
      <c r="B17" s="29" t="s">
        <v>34</v>
      </c>
      <c r="C17" s="30" t="s">
        <v>35</v>
      </c>
      <c r="D17" s="31" t="s">
        <v>188</v>
      </c>
      <c r="E17" s="35" t="s">
        <v>189</v>
      </c>
      <c r="F17" s="33">
        <v>12000.0</v>
      </c>
      <c r="G17" s="34" t="s">
        <v>190</v>
      </c>
      <c r="H17" s="34" t="s">
        <v>161</v>
      </c>
      <c r="I17" s="18"/>
      <c r="J17" s="18"/>
      <c r="K17" s="18"/>
      <c r="L17" s="18"/>
      <c r="M17" s="18"/>
      <c r="N17" s="18"/>
      <c r="O17" s="18"/>
      <c r="P17" s="18"/>
      <c r="Q17" s="18"/>
      <c r="R17" s="18"/>
      <c r="S17" s="18"/>
      <c r="T17" s="18"/>
      <c r="U17" s="18"/>
      <c r="V17" s="18"/>
      <c r="W17" s="18"/>
      <c r="X17" s="18"/>
      <c r="Y17" s="18"/>
      <c r="Z17" s="18"/>
    </row>
    <row r="18">
      <c r="A18" s="28">
        <v>11.0</v>
      </c>
      <c r="B18" s="29" t="s">
        <v>36</v>
      </c>
      <c r="C18" s="30" t="s">
        <v>37</v>
      </c>
      <c r="D18" s="31" t="s">
        <v>191</v>
      </c>
      <c r="E18" s="35" t="s">
        <v>192</v>
      </c>
      <c r="F18" s="36">
        <v>10000.0</v>
      </c>
      <c r="G18" s="34" t="s">
        <v>193</v>
      </c>
      <c r="H18" s="34" t="s">
        <v>161</v>
      </c>
      <c r="I18" s="18"/>
      <c r="J18" s="18"/>
      <c r="K18" s="18"/>
      <c r="L18" s="18"/>
      <c r="M18" s="18"/>
      <c r="N18" s="18"/>
      <c r="O18" s="18"/>
      <c r="P18" s="18"/>
      <c r="Q18" s="18"/>
      <c r="R18" s="18"/>
      <c r="S18" s="18"/>
      <c r="T18" s="18"/>
      <c r="U18" s="18"/>
      <c r="V18" s="18"/>
      <c r="W18" s="18"/>
      <c r="X18" s="18"/>
      <c r="Y18" s="18"/>
      <c r="Z18" s="18"/>
    </row>
    <row r="19">
      <c r="A19" s="28">
        <v>12.0</v>
      </c>
      <c r="B19" s="29" t="s">
        <v>38</v>
      </c>
      <c r="C19" s="30" t="s">
        <v>39</v>
      </c>
      <c r="D19" s="31" t="s">
        <v>194</v>
      </c>
      <c r="E19" s="35" t="s">
        <v>195</v>
      </c>
      <c r="F19" s="33">
        <v>35000.0</v>
      </c>
      <c r="G19" s="34" t="s">
        <v>171</v>
      </c>
      <c r="H19" s="34" t="s">
        <v>172</v>
      </c>
      <c r="I19" s="18"/>
      <c r="J19" s="18"/>
      <c r="K19" s="18"/>
      <c r="L19" s="18"/>
      <c r="M19" s="18"/>
      <c r="N19" s="18"/>
      <c r="O19" s="18"/>
      <c r="P19" s="18"/>
      <c r="Q19" s="18"/>
      <c r="R19" s="18"/>
      <c r="S19" s="18"/>
      <c r="T19" s="18"/>
      <c r="U19" s="18"/>
      <c r="V19" s="18"/>
      <c r="W19" s="18"/>
      <c r="X19" s="18"/>
      <c r="Y19" s="18"/>
      <c r="Z19" s="18"/>
    </row>
    <row r="20">
      <c r="A20" s="28">
        <v>13.0</v>
      </c>
      <c r="B20" s="29" t="s">
        <v>40</v>
      </c>
      <c r="C20" s="30" t="s">
        <v>41</v>
      </c>
      <c r="D20" s="31" t="s">
        <v>196</v>
      </c>
      <c r="E20" s="5" t="s">
        <v>197</v>
      </c>
      <c r="F20" s="36"/>
      <c r="G20" s="34" t="s">
        <v>198</v>
      </c>
      <c r="H20" s="34" t="s">
        <v>172</v>
      </c>
      <c r="I20" s="18"/>
      <c r="J20" s="18"/>
      <c r="K20" s="18"/>
      <c r="L20" s="18"/>
      <c r="M20" s="18"/>
      <c r="N20" s="18"/>
      <c r="O20" s="18"/>
      <c r="P20" s="18"/>
      <c r="Q20" s="18"/>
      <c r="R20" s="18"/>
      <c r="S20" s="18"/>
      <c r="T20" s="18"/>
      <c r="U20" s="18"/>
      <c r="V20" s="18"/>
      <c r="W20" s="18"/>
      <c r="X20" s="18"/>
      <c r="Y20" s="18"/>
      <c r="Z20" s="18"/>
    </row>
    <row r="21" ht="15.75" customHeight="1">
      <c r="A21" s="28">
        <v>14.0</v>
      </c>
      <c r="B21" s="29" t="s">
        <v>42</v>
      </c>
      <c r="C21" s="30" t="s">
        <v>43</v>
      </c>
      <c r="D21" s="40" t="s">
        <v>199</v>
      </c>
      <c r="E21" s="35" t="s">
        <v>200</v>
      </c>
      <c r="F21" s="36" t="s">
        <v>168</v>
      </c>
      <c r="G21" s="34" t="s">
        <v>201</v>
      </c>
      <c r="H21" s="34" t="s">
        <v>172</v>
      </c>
      <c r="I21" s="18"/>
      <c r="J21" s="18"/>
      <c r="K21" s="18"/>
      <c r="L21" s="18"/>
      <c r="M21" s="18"/>
      <c r="N21" s="18"/>
      <c r="O21" s="18"/>
      <c r="P21" s="18"/>
      <c r="Q21" s="18"/>
      <c r="R21" s="18"/>
      <c r="S21" s="18"/>
      <c r="T21" s="18"/>
      <c r="U21" s="18"/>
      <c r="V21" s="18"/>
      <c r="W21" s="18"/>
      <c r="X21" s="18"/>
      <c r="Y21" s="18"/>
      <c r="Z21" s="18"/>
    </row>
    <row r="22" ht="15.75" customHeight="1">
      <c r="A22" s="28">
        <v>15.0</v>
      </c>
      <c r="B22" s="29" t="s">
        <v>44</v>
      </c>
      <c r="C22" s="30" t="s">
        <v>45</v>
      </c>
      <c r="D22" s="40" t="s">
        <v>199</v>
      </c>
      <c r="E22" s="35" t="s">
        <v>202</v>
      </c>
      <c r="F22" s="36" t="s">
        <v>168</v>
      </c>
      <c r="G22" s="34" t="s">
        <v>181</v>
      </c>
      <c r="H22" s="34" t="s">
        <v>161</v>
      </c>
      <c r="I22" s="18"/>
      <c r="J22" s="18"/>
      <c r="K22" s="18"/>
      <c r="L22" s="18"/>
      <c r="M22" s="18"/>
      <c r="N22" s="18"/>
      <c r="O22" s="18"/>
      <c r="P22" s="18"/>
      <c r="Q22" s="18"/>
      <c r="R22" s="18"/>
      <c r="S22" s="18"/>
      <c r="T22" s="18"/>
      <c r="U22" s="18"/>
      <c r="V22" s="18"/>
      <c r="W22" s="18"/>
      <c r="X22" s="18"/>
      <c r="Y22" s="18"/>
      <c r="Z22" s="18"/>
    </row>
    <row r="23" ht="15.75" customHeight="1">
      <c r="A23" s="28">
        <v>16.0</v>
      </c>
      <c r="B23" s="29" t="s">
        <v>46</v>
      </c>
      <c r="C23" s="30" t="s">
        <v>47</v>
      </c>
      <c r="D23" s="40" t="s">
        <v>199</v>
      </c>
      <c r="E23" s="35" t="s">
        <v>203</v>
      </c>
      <c r="F23" s="36" t="s">
        <v>168</v>
      </c>
      <c r="G23" s="34" t="s">
        <v>181</v>
      </c>
      <c r="H23" s="34" t="s">
        <v>161</v>
      </c>
      <c r="I23" s="18"/>
      <c r="J23" s="18"/>
      <c r="K23" s="18"/>
      <c r="L23" s="18"/>
      <c r="M23" s="18"/>
      <c r="N23" s="18"/>
      <c r="O23" s="18"/>
      <c r="P23" s="18"/>
      <c r="Q23" s="18"/>
      <c r="R23" s="18"/>
      <c r="S23" s="18"/>
      <c r="T23" s="18"/>
      <c r="U23" s="18"/>
      <c r="V23" s="18"/>
      <c r="W23" s="18"/>
      <c r="X23" s="18"/>
      <c r="Y23" s="18"/>
      <c r="Z23" s="18"/>
    </row>
    <row r="24" ht="15.75" customHeight="1">
      <c r="A24" s="28">
        <v>17.0</v>
      </c>
      <c r="B24" s="29" t="s">
        <v>48</v>
      </c>
      <c r="C24" s="30" t="s">
        <v>49</v>
      </c>
      <c r="D24" s="41" t="s">
        <v>204</v>
      </c>
      <c r="E24" s="35" t="s">
        <v>205</v>
      </c>
      <c r="F24" s="33">
        <v>40000.0</v>
      </c>
      <c r="G24" s="34" t="s">
        <v>160</v>
      </c>
      <c r="H24" s="34" t="s">
        <v>172</v>
      </c>
      <c r="I24" s="18"/>
      <c r="J24" s="18"/>
      <c r="K24" s="18"/>
      <c r="L24" s="18"/>
      <c r="M24" s="18"/>
      <c r="N24" s="18"/>
      <c r="O24" s="18"/>
      <c r="P24" s="18"/>
      <c r="Q24" s="18"/>
      <c r="R24" s="18"/>
      <c r="S24" s="18"/>
      <c r="T24" s="18"/>
      <c r="U24" s="18"/>
      <c r="V24" s="18"/>
      <c r="W24" s="18"/>
      <c r="X24" s="18"/>
      <c r="Y24" s="18"/>
      <c r="Z24" s="18"/>
    </row>
    <row r="25" ht="15.75" customHeight="1">
      <c r="A25" s="28">
        <v>18.0</v>
      </c>
      <c r="B25" s="29" t="s">
        <v>50</v>
      </c>
      <c r="C25" s="30" t="s">
        <v>51</v>
      </c>
      <c r="D25" s="31" t="s">
        <v>206</v>
      </c>
      <c r="E25" s="35" t="s">
        <v>207</v>
      </c>
      <c r="F25" s="33">
        <v>35000.0</v>
      </c>
      <c r="G25" s="34" t="s">
        <v>160</v>
      </c>
      <c r="H25" s="34" t="s">
        <v>172</v>
      </c>
      <c r="I25" s="18"/>
      <c r="J25" s="18"/>
      <c r="K25" s="18"/>
      <c r="L25" s="18"/>
      <c r="M25" s="18"/>
      <c r="N25" s="18"/>
      <c r="O25" s="18"/>
      <c r="P25" s="18"/>
      <c r="Q25" s="18"/>
      <c r="R25" s="18"/>
      <c r="S25" s="18"/>
      <c r="T25" s="18"/>
      <c r="U25" s="18"/>
      <c r="V25" s="18"/>
      <c r="W25" s="18"/>
      <c r="X25" s="18"/>
      <c r="Y25" s="18"/>
      <c r="Z25" s="18"/>
    </row>
    <row r="26" ht="15.75" customHeight="1">
      <c r="A26" s="28">
        <v>19.0</v>
      </c>
      <c r="B26" s="29" t="s">
        <v>52</v>
      </c>
      <c r="C26" s="30" t="s">
        <v>53</v>
      </c>
      <c r="D26" s="40" t="s">
        <v>199</v>
      </c>
      <c r="E26" s="35" t="s">
        <v>200</v>
      </c>
      <c r="F26" s="33" t="s">
        <v>168</v>
      </c>
      <c r="G26" s="34" t="s">
        <v>201</v>
      </c>
      <c r="H26" s="34" t="s">
        <v>172</v>
      </c>
      <c r="I26" s="18"/>
      <c r="J26" s="18"/>
      <c r="K26" s="18"/>
      <c r="L26" s="18"/>
      <c r="M26" s="18"/>
      <c r="N26" s="18"/>
      <c r="O26" s="18"/>
      <c r="P26" s="18"/>
      <c r="Q26" s="18"/>
      <c r="R26" s="18"/>
      <c r="S26" s="18"/>
      <c r="T26" s="18"/>
      <c r="U26" s="18"/>
      <c r="V26" s="18"/>
      <c r="W26" s="18"/>
      <c r="X26" s="18"/>
      <c r="Y26" s="18"/>
      <c r="Z26" s="18"/>
    </row>
    <row r="27" ht="15.75" customHeight="1">
      <c r="A27" s="28">
        <v>20.0</v>
      </c>
      <c r="B27" s="29" t="s">
        <v>54</v>
      </c>
      <c r="C27" s="30" t="s">
        <v>55</v>
      </c>
      <c r="D27" s="40" t="s">
        <v>199</v>
      </c>
      <c r="E27" s="35" t="s">
        <v>200</v>
      </c>
      <c r="F27" s="36" t="s">
        <v>168</v>
      </c>
      <c r="G27" s="34" t="s">
        <v>201</v>
      </c>
      <c r="H27" s="34" t="s">
        <v>161</v>
      </c>
      <c r="I27" s="18"/>
      <c r="J27" s="18"/>
      <c r="K27" s="18"/>
      <c r="L27" s="18"/>
      <c r="M27" s="18"/>
      <c r="N27" s="18"/>
      <c r="O27" s="18"/>
      <c r="P27" s="18"/>
      <c r="Q27" s="18"/>
      <c r="R27" s="18"/>
      <c r="S27" s="18"/>
      <c r="T27" s="18"/>
      <c r="U27" s="18"/>
      <c r="V27" s="18"/>
      <c r="W27" s="18"/>
      <c r="X27" s="18"/>
      <c r="Y27" s="18"/>
      <c r="Z27" s="18"/>
    </row>
    <row r="28" ht="15.75" customHeight="1">
      <c r="A28" s="28">
        <v>21.0</v>
      </c>
      <c r="B28" s="29" t="s">
        <v>56</v>
      </c>
      <c r="C28" s="30" t="s">
        <v>57</v>
      </c>
      <c r="D28" s="31" t="s">
        <v>208</v>
      </c>
      <c r="E28" s="35" t="s">
        <v>209</v>
      </c>
      <c r="F28" s="33">
        <v>25000.0</v>
      </c>
      <c r="G28" s="34" t="s">
        <v>210</v>
      </c>
      <c r="H28" s="34" t="s">
        <v>172</v>
      </c>
      <c r="I28" s="18"/>
      <c r="J28" s="18"/>
      <c r="K28" s="18"/>
      <c r="L28" s="18"/>
      <c r="M28" s="18"/>
      <c r="N28" s="18"/>
      <c r="O28" s="18"/>
      <c r="P28" s="18"/>
      <c r="Q28" s="18"/>
      <c r="R28" s="18"/>
      <c r="S28" s="18"/>
      <c r="T28" s="18"/>
      <c r="U28" s="18"/>
      <c r="V28" s="18"/>
      <c r="W28" s="18"/>
      <c r="X28" s="18"/>
      <c r="Y28" s="18"/>
      <c r="Z28" s="18"/>
    </row>
    <row r="29" ht="15.75" customHeight="1">
      <c r="A29" s="28">
        <v>22.0</v>
      </c>
      <c r="B29" s="29" t="s">
        <v>58</v>
      </c>
      <c r="C29" s="30" t="s">
        <v>59</v>
      </c>
      <c r="D29" s="31" t="s">
        <v>211</v>
      </c>
      <c r="E29" s="42" t="s">
        <v>212</v>
      </c>
      <c r="F29" s="33">
        <v>20000.0</v>
      </c>
      <c r="G29" s="34" t="s">
        <v>210</v>
      </c>
      <c r="H29" s="34" t="s">
        <v>182</v>
      </c>
      <c r="I29" s="18"/>
      <c r="J29" s="18"/>
      <c r="K29" s="18"/>
      <c r="L29" s="18"/>
      <c r="M29" s="18"/>
      <c r="N29" s="18"/>
      <c r="O29" s="18"/>
      <c r="P29" s="18"/>
      <c r="Q29" s="18"/>
      <c r="R29" s="18"/>
      <c r="S29" s="18"/>
      <c r="T29" s="18"/>
      <c r="U29" s="18"/>
      <c r="V29" s="18"/>
      <c r="W29" s="18"/>
      <c r="X29" s="18"/>
      <c r="Y29" s="18"/>
      <c r="Z29" s="18"/>
    </row>
    <row r="30" ht="15.75" customHeight="1">
      <c r="A30" s="28">
        <v>23.0</v>
      </c>
      <c r="B30" s="29" t="s">
        <v>60</v>
      </c>
      <c r="C30" s="30" t="s">
        <v>61</v>
      </c>
      <c r="D30" s="31" t="s">
        <v>213</v>
      </c>
      <c r="E30" s="42" t="s">
        <v>214</v>
      </c>
      <c r="F30" s="36" t="s">
        <v>168</v>
      </c>
      <c r="G30" s="34" t="s">
        <v>181</v>
      </c>
      <c r="H30" s="34" t="s">
        <v>161</v>
      </c>
      <c r="I30" s="18"/>
      <c r="J30" s="18"/>
      <c r="K30" s="18"/>
      <c r="L30" s="18"/>
      <c r="M30" s="18"/>
      <c r="N30" s="18"/>
      <c r="O30" s="18"/>
      <c r="P30" s="18"/>
      <c r="Q30" s="18"/>
      <c r="R30" s="18"/>
      <c r="S30" s="18"/>
      <c r="T30" s="18"/>
      <c r="U30" s="18"/>
      <c r="V30" s="18"/>
      <c r="W30" s="18"/>
      <c r="X30" s="18"/>
      <c r="Y30" s="18"/>
      <c r="Z30" s="18"/>
    </row>
    <row r="31" ht="15.75" customHeight="1">
      <c r="A31" s="28">
        <v>24.0</v>
      </c>
      <c r="B31" s="29" t="s">
        <v>62</v>
      </c>
      <c r="C31" s="30" t="s">
        <v>63</v>
      </c>
      <c r="D31" s="40" t="s">
        <v>199</v>
      </c>
      <c r="E31" s="35" t="s">
        <v>215</v>
      </c>
      <c r="F31" s="36" t="s">
        <v>168</v>
      </c>
      <c r="G31" s="34" t="s">
        <v>181</v>
      </c>
      <c r="H31" s="34" t="s">
        <v>161</v>
      </c>
      <c r="I31" s="18"/>
      <c r="J31" s="18"/>
      <c r="K31" s="18"/>
      <c r="L31" s="18"/>
      <c r="M31" s="18"/>
      <c r="N31" s="18"/>
      <c r="O31" s="18"/>
      <c r="P31" s="18"/>
      <c r="Q31" s="18"/>
      <c r="R31" s="18"/>
      <c r="S31" s="18"/>
      <c r="T31" s="18"/>
      <c r="U31" s="18"/>
      <c r="V31" s="18"/>
      <c r="W31" s="18"/>
      <c r="X31" s="18"/>
      <c r="Y31" s="18"/>
      <c r="Z31" s="18"/>
    </row>
    <row r="32" ht="15.75" customHeight="1">
      <c r="A32" s="28">
        <v>25.0</v>
      </c>
      <c r="B32" s="29" t="s">
        <v>64</v>
      </c>
      <c r="C32" s="30" t="s">
        <v>65</v>
      </c>
      <c r="D32" s="31" t="s">
        <v>216</v>
      </c>
      <c r="E32" s="35" t="s">
        <v>217</v>
      </c>
      <c r="F32" s="33">
        <v>12000.0</v>
      </c>
      <c r="G32" s="34" t="s">
        <v>210</v>
      </c>
      <c r="H32" s="34" t="s">
        <v>172</v>
      </c>
      <c r="I32" s="18"/>
      <c r="J32" s="18"/>
      <c r="K32" s="18"/>
      <c r="L32" s="18"/>
      <c r="M32" s="18"/>
      <c r="N32" s="18"/>
      <c r="O32" s="18"/>
      <c r="P32" s="18"/>
      <c r="Q32" s="18"/>
      <c r="R32" s="18"/>
      <c r="S32" s="18"/>
      <c r="T32" s="18"/>
      <c r="U32" s="18"/>
      <c r="V32" s="18"/>
      <c r="W32" s="18"/>
      <c r="X32" s="18"/>
      <c r="Y32" s="18"/>
      <c r="Z32" s="18"/>
    </row>
    <row r="33" ht="15.75" customHeight="1">
      <c r="A33" s="28">
        <v>26.0</v>
      </c>
      <c r="B33" s="29" t="s">
        <v>66</v>
      </c>
      <c r="C33" s="30" t="s">
        <v>67</v>
      </c>
      <c r="D33" s="31" t="s">
        <v>218</v>
      </c>
      <c r="E33" s="35" t="s">
        <v>219</v>
      </c>
      <c r="F33" s="33">
        <v>30000.0</v>
      </c>
      <c r="G33" s="34" t="s">
        <v>171</v>
      </c>
      <c r="H33" s="34" t="s">
        <v>172</v>
      </c>
      <c r="I33" s="18"/>
      <c r="J33" s="18"/>
      <c r="K33" s="18"/>
      <c r="L33" s="18"/>
      <c r="M33" s="18"/>
      <c r="N33" s="18"/>
      <c r="O33" s="18"/>
      <c r="P33" s="18"/>
      <c r="Q33" s="18"/>
      <c r="R33" s="18"/>
      <c r="S33" s="18"/>
      <c r="T33" s="18"/>
      <c r="U33" s="18"/>
      <c r="V33" s="18"/>
      <c r="W33" s="18"/>
      <c r="X33" s="18"/>
      <c r="Y33" s="18"/>
      <c r="Z33" s="18"/>
    </row>
    <row r="34" ht="15.75" customHeight="1">
      <c r="A34" s="28">
        <v>27.0</v>
      </c>
      <c r="B34" s="29" t="s">
        <v>68</v>
      </c>
      <c r="C34" s="30" t="s">
        <v>69</v>
      </c>
      <c r="D34" s="40" t="s">
        <v>199</v>
      </c>
      <c r="E34" s="35" t="s">
        <v>215</v>
      </c>
      <c r="F34" s="36" t="s">
        <v>168</v>
      </c>
      <c r="G34" s="34" t="s">
        <v>220</v>
      </c>
      <c r="H34" s="34" t="s">
        <v>172</v>
      </c>
      <c r="I34" s="18"/>
      <c r="J34" s="18"/>
      <c r="K34" s="18"/>
      <c r="L34" s="18"/>
      <c r="M34" s="18"/>
      <c r="N34" s="18"/>
      <c r="O34" s="18"/>
      <c r="P34" s="18"/>
      <c r="Q34" s="18"/>
      <c r="R34" s="18"/>
      <c r="S34" s="18"/>
      <c r="T34" s="18"/>
      <c r="U34" s="18"/>
      <c r="V34" s="18"/>
      <c r="W34" s="18"/>
      <c r="X34" s="18"/>
      <c r="Y34" s="18"/>
      <c r="Z34" s="18"/>
    </row>
    <row r="35" ht="15.75" customHeight="1">
      <c r="A35" s="28">
        <v>28.0</v>
      </c>
      <c r="B35" s="29" t="s">
        <v>70</v>
      </c>
      <c r="C35" s="30" t="s">
        <v>71</v>
      </c>
      <c r="D35" s="40" t="s">
        <v>199</v>
      </c>
      <c r="E35" s="35" t="s">
        <v>215</v>
      </c>
      <c r="F35" s="36" t="s">
        <v>168</v>
      </c>
      <c r="G35" s="34" t="s">
        <v>201</v>
      </c>
      <c r="H35" s="34" t="s">
        <v>172</v>
      </c>
      <c r="I35" s="18"/>
      <c r="J35" s="18"/>
      <c r="K35" s="18"/>
      <c r="L35" s="18"/>
      <c r="M35" s="18"/>
      <c r="N35" s="18"/>
      <c r="O35" s="18"/>
      <c r="P35" s="18"/>
      <c r="Q35" s="18"/>
      <c r="R35" s="18"/>
      <c r="S35" s="18"/>
      <c r="T35" s="18"/>
      <c r="U35" s="18"/>
      <c r="V35" s="18"/>
      <c r="W35" s="18"/>
      <c r="X35" s="18"/>
      <c r="Y35" s="18"/>
      <c r="Z35" s="18"/>
    </row>
    <row r="36" ht="15.75" customHeight="1">
      <c r="A36" s="37">
        <v>29.0</v>
      </c>
      <c r="B36" s="38" t="s">
        <v>72</v>
      </c>
      <c r="C36" s="39" t="s">
        <v>73</v>
      </c>
      <c r="D36" s="31" t="s">
        <v>169</v>
      </c>
      <c r="E36" s="35" t="s">
        <v>170</v>
      </c>
      <c r="F36" s="33">
        <v>30000.0</v>
      </c>
      <c r="G36" s="34" t="s">
        <v>171</v>
      </c>
      <c r="H36" s="34" t="s">
        <v>172</v>
      </c>
      <c r="I36" s="18"/>
      <c r="J36" s="18"/>
      <c r="K36" s="18"/>
      <c r="L36" s="18"/>
      <c r="M36" s="18"/>
      <c r="N36" s="18"/>
      <c r="O36" s="18"/>
      <c r="P36" s="18"/>
      <c r="Q36" s="18"/>
      <c r="R36" s="18"/>
      <c r="S36" s="18"/>
      <c r="T36" s="18"/>
      <c r="U36" s="18"/>
      <c r="V36" s="18"/>
      <c r="W36" s="18"/>
      <c r="X36" s="18"/>
      <c r="Y36" s="18"/>
      <c r="Z36" s="18"/>
    </row>
    <row r="37" ht="15.75" customHeight="1">
      <c r="A37" s="28">
        <v>30.0</v>
      </c>
      <c r="B37" s="29" t="s">
        <v>74</v>
      </c>
      <c r="C37" s="30" t="s">
        <v>75</v>
      </c>
      <c r="D37" s="31" t="s">
        <v>221</v>
      </c>
      <c r="E37" s="35" t="s">
        <v>222</v>
      </c>
      <c r="F37" s="33">
        <v>16000.0</v>
      </c>
      <c r="G37" s="34" t="s">
        <v>223</v>
      </c>
      <c r="H37" s="34" t="s">
        <v>172</v>
      </c>
      <c r="I37" s="18"/>
      <c r="J37" s="18"/>
      <c r="K37" s="18"/>
      <c r="L37" s="18"/>
      <c r="M37" s="18"/>
      <c r="N37" s="18"/>
      <c r="O37" s="18"/>
      <c r="P37" s="18"/>
      <c r="Q37" s="18"/>
      <c r="R37" s="18"/>
      <c r="S37" s="18"/>
      <c r="T37" s="18"/>
      <c r="U37" s="18"/>
      <c r="V37" s="18"/>
      <c r="W37" s="18"/>
      <c r="X37" s="18"/>
      <c r="Y37" s="18"/>
      <c r="Z37" s="18"/>
    </row>
    <row r="38" ht="15.75" customHeight="1">
      <c r="A38" s="28">
        <v>31.0</v>
      </c>
      <c r="B38" s="29" t="s">
        <v>76</v>
      </c>
      <c r="C38" s="30" t="s">
        <v>77</v>
      </c>
      <c r="D38" s="31" t="s">
        <v>224</v>
      </c>
      <c r="E38" s="35" t="s">
        <v>225</v>
      </c>
      <c r="F38" s="33">
        <v>20000.0</v>
      </c>
      <c r="G38" s="34" t="s">
        <v>171</v>
      </c>
      <c r="H38" s="34" t="s">
        <v>172</v>
      </c>
      <c r="I38" s="18"/>
      <c r="J38" s="18"/>
      <c r="K38" s="18"/>
      <c r="L38" s="18"/>
      <c r="M38" s="18"/>
      <c r="N38" s="18"/>
      <c r="O38" s="18"/>
      <c r="P38" s="18"/>
      <c r="Q38" s="18"/>
      <c r="R38" s="18"/>
      <c r="S38" s="18"/>
      <c r="T38" s="18"/>
      <c r="U38" s="18"/>
      <c r="V38" s="18"/>
      <c r="W38" s="18"/>
      <c r="X38" s="18"/>
      <c r="Y38" s="18"/>
      <c r="Z38" s="18"/>
    </row>
    <row r="39" ht="15.75" customHeight="1">
      <c r="A39" s="28">
        <v>32.0</v>
      </c>
      <c r="B39" s="29" t="s">
        <v>78</v>
      </c>
      <c r="C39" s="30" t="s">
        <v>79</v>
      </c>
      <c r="D39" s="40" t="s">
        <v>199</v>
      </c>
      <c r="E39" s="35" t="s">
        <v>226</v>
      </c>
      <c r="F39" s="36" t="s">
        <v>168</v>
      </c>
      <c r="G39" s="34" t="s">
        <v>227</v>
      </c>
      <c r="H39" s="34" t="s">
        <v>172</v>
      </c>
      <c r="I39" s="18"/>
      <c r="J39" s="18"/>
      <c r="K39" s="18"/>
      <c r="L39" s="18"/>
      <c r="M39" s="18"/>
      <c r="N39" s="18"/>
      <c r="O39" s="18"/>
      <c r="P39" s="18"/>
      <c r="Q39" s="18"/>
      <c r="R39" s="18"/>
      <c r="S39" s="18"/>
      <c r="T39" s="18"/>
      <c r="U39" s="18"/>
      <c r="V39" s="18"/>
      <c r="W39" s="18"/>
      <c r="X39" s="18"/>
      <c r="Y39" s="18"/>
      <c r="Z39" s="18"/>
    </row>
    <row r="40" ht="15.75" customHeight="1">
      <c r="A40" s="28">
        <v>33.0</v>
      </c>
      <c r="B40" s="29" t="s">
        <v>80</v>
      </c>
      <c r="C40" s="30" t="s">
        <v>81</v>
      </c>
      <c r="D40" s="40" t="s">
        <v>199</v>
      </c>
      <c r="E40" s="35" t="s">
        <v>215</v>
      </c>
      <c r="F40" s="36" t="s">
        <v>168</v>
      </c>
      <c r="G40" s="34" t="s">
        <v>181</v>
      </c>
      <c r="H40" s="34" t="s">
        <v>161</v>
      </c>
      <c r="I40" s="18"/>
      <c r="J40" s="18"/>
      <c r="K40" s="18"/>
      <c r="L40" s="18"/>
      <c r="M40" s="18"/>
      <c r="N40" s="18"/>
      <c r="O40" s="18"/>
      <c r="P40" s="18"/>
      <c r="Q40" s="18"/>
      <c r="R40" s="18"/>
      <c r="S40" s="18"/>
      <c r="T40" s="18"/>
      <c r="U40" s="18"/>
      <c r="V40" s="18"/>
      <c r="W40" s="18"/>
      <c r="X40" s="18"/>
      <c r="Y40" s="18"/>
      <c r="Z40" s="18"/>
    </row>
    <row r="41" ht="15.75" customHeight="1">
      <c r="A41" s="28">
        <v>34.0</v>
      </c>
      <c r="B41" s="29" t="s">
        <v>82</v>
      </c>
      <c r="C41" s="30" t="s">
        <v>83</v>
      </c>
      <c r="D41" s="31" t="s">
        <v>228</v>
      </c>
      <c r="E41" s="35" t="s">
        <v>229</v>
      </c>
      <c r="F41" s="33">
        <v>20000.0</v>
      </c>
      <c r="G41" s="34" t="s">
        <v>210</v>
      </c>
      <c r="H41" s="34" t="s">
        <v>182</v>
      </c>
      <c r="I41" s="18"/>
      <c r="J41" s="18"/>
      <c r="K41" s="18"/>
      <c r="L41" s="18"/>
      <c r="M41" s="18"/>
      <c r="N41" s="18"/>
      <c r="O41" s="18"/>
      <c r="P41" s="18"/>
      <c r="Q41" s="18"/>
      <c r="R41" s="18"/>
      <c r="S41" s="18"/>
      <c r="T41" s="18"/>
      <c r="U41" s="18"/>
      <c r="V41" s="18"/>
      <c r="W41" s="18"/>
      <c r="X41" s="18"/>
      <c r="Y41" s="18"/>
      <c r="Z41" s="18"/>
    </row>
    <row r="42" ht="15.75" customHeight="1">
      <c r="A42" s="28">
        <v>35.0</v>
      </c>
      <c r="B42" s="29" t="s">
        <v>84</v>
      </c>
      <c r="C42" s="30" t="s">
        <v>85</v>
      </c>
      <c r="D42" s="40" t="s">
        <v>199</v>
      </c>
      <c r="E42" s="35" t="s">
        <v>230</v>
      </c>
      <c r="F42" s="36" t="s">
        <v>168</v>
      </c>
      <c r="G42" s="34" t="s">
        <v>201</v>
      </c>
      <c r="H42" s="34" t="s">
        <v>172</v>
      </c>
      <c r="I42" s="18"/>
      <c r="J42" s="18"/>
      <c r="K42" s="18"/>
      <c r="L42" s="18"/>
      <c r="M42" s="18"/>
      <c r="N42" s="18"/>
      <c r="O42" s="18"/>
      <c r="P42" s="18"/>
      <c r="Q42" s="18"/>
      <c r="R42" s="18"/>
      <c r="S42" s="18"/>
      <c r="T42" s="18"/>
      <c r="U42" s="18"/>
      <c r="V42" s="18"/>
      <c r="W42" s="18"/>
      <c r="X42" s="18"/>
      <c r="Y42" s="18"/>
      <c r="Z42" s="18"/>
    </row>
    <row r="43" ht="15.75" customHeight="1">
      <c r="A43" s="28">
        <v>36.0</v>
      </c>
      <c r="B43" s="29" t="s">
        <v>86</v>
      </c>
      <c r="C43" s="30" t="s">
        <v>87</v>
      </c>
      <c r="D43" s="31" t="s">
        <v>231</v>
      </c>
      <c r="E43" s="35" t="s">
        <v>232</v>
      </c>
      <c r="F43" s="33">
        <v>20000.0</v>
      </c>
      <c r="G43" s="34" t="s">
        <v>223</v>
      </c>
      <c r="H43" s="34" t="s">
        <v>172</v>
      </c>
      <c r="I43" s="18"/>
      <c r="J43" s="18"/>
      <c r="K43" s="18"/>
      <c r="L43" s="18"/>
      <c r="M43" s="18"/>
      <c r="N43" s="18"/>
      <c r="O43" s="18"/>
      <c r="P43" s="18"/>
      <c r="Q43" s="18"/>
      <c r="R43" s="18"/>
      <c r="S43" s="18"/>
      <c r="T43" s="18"/>
      <c r="U43" s="18"/>
      <c r="V43" s="18"/>
      <c r="W43" s="18"/>
      <c r="X43" s="18"/>
      <c r="Y43" s="18"/>
      <c r="Z43" s="18"/>
    </row>
    <row r="44" ht="15.75" customHeight="1">
      <c r="A44" s="28">
        <v>37.0</v>
      </c>
      <c r="B44" s="29" t="s">
        <v>88</v>
      </c>
      <c r="C44" s="30" t="s">
        <v>89</v>
      </c>
      <c r="D44" s="31" t="s">
        <v>233</v>
      </c>
      <c r="E44" s="35" t="s">
        <v>234</v>
      </c>
      <c r="F44" s="36">
        <v>27500.0</v>
      </c>
      <c r="G44" s="34" t="s">
        <v>223</v>
      </c>
      <c r="H44" s="34" t="s">
        <v>172</v>
      </c>
      <c r="I44" s="18"/>
      <c r="J44" s="18"/>
      <c r="K44" s="18"/>
      <c r="L44" s="18"/>
      <c r="M44" s="18"/>
      <c r="N44" s="18"/>
      <c r="O44" s="18"/>
      <c r="P44" s="18"/>
      <c r="Q44" s="18"/>
      <c r="R44" s="18"/>
      <c r="S44" s="18"/>
      <c r="T44" s="18"/>
      <c r="U44" s="18"/>
      <c r="V44" s="18"/>
      <c r="W44" s="18"/>
      <c r="X44" s="18"/>
      <c r="Y44" s="18"/>
      <c r="Z44" s="18"/>
    </row>
    <row r="45" ht="15.75" customHeight="1">
      <c r="A45" s="28">
        <v>38.0</v>
      </c>
      <c r="B45" s="29" t="s">
        <v>90</v>
      </c>
      <c r="C45" s="30" t="s">
        <v>91</v>
      </c>
      <c r="D45" s="31" t="s">
        <v>235</v>
      </c>
      <c r="E45" s="35" t="s">
        <v>236</v>
      </c>
      <c r="F45" s="33">
        <v>25000.0</v>
      </c>
      <c r="G45" s="34" t="s">
        <v>171</v>
      </c>
      <c r="H45" s="34" t="s">
        <v>172</v>
      </c>
      <c r="I45" s="18"/>
      <c r="J45" s="18"/>
      <c r="K45" s="18"/>
      <c r="L45" s="18"/>
      <c r="M45" s="18"/>
      <c r="N45" s="18"/>
      <c r="O45" s="18"/>
      <c r="P45" s="18"/>
      <c r="Q45" s="18"/>
      <c r="R45" s="18"/>
      <c r="S45" s="18"/>
      <c r="T45" s="18"/>
      <c r="U45" s="18"/>
      <c r="V45" s="18"/>
      <c r="W45" s="18"/>
      <c r="X45" s="18"/>
      <c r="Y45" s="18"/>
      <c r="Z45" s="18"/>
    </row>
    <row r="46" ht="15.75" customHeight="1">
      <c r="A46" s="28">
        <v>39.0</v>
      </c>
      <c r="B46" s="29" t="s">
        <v>92</v>
      </c>
      <c r="C46" s="30" t="s">
        <v>93</v>
      </c>
      <c r="D46" s="31" t="s">
        <v>237</v>
      </c>
      <c r="E46" s="35" t="s">
        <v>238</v>
      </c>
      <c r="F46" s="36" t="s">
        <v>168</v>
      </c>
      <c r="G46" s="34" t="s">
        <v>177</v>
      </c>
      <c r="H46" s="34" t="s">
        <v>178</v>
      </c>
      <c r="I46" s="18"/>
      <c r="J46" s="18"/>
      <c r="K46" s="18"/>
      <c r="L46" s="18"/>
      <c r="M46" s="18"/>
      <c r="N46" s="18"/>
      <c r="O46" s="18"/>
      <c r="P46" s="18"/>
      <c r="Q46" s="18"/>
      <c r="R46" s="18"/>
      <c r="S46" s="18"/>
      <c r="T46" s="18"/>
      <c r="U46" s="18"/>
      <c r="V46" s="18"/>
      <c r="W46" s="18"/>
      <c r="X46" s="18"/>
      <c r="Y46" s="18"/>
      <c r="Z46" s="18"/>
    </row>
    <row r="47" ht="15.75" customHeight="1">
      <c r="A47" s="28">
        <v>40.0</v>
      </c>
      <c r="B47" s="29" t="s">
        <v>94</v>
      </c>
      <c r="C47" s="30" t="s">
        <v>95</v>
      </c>
      <c r="D47" s="40" t="s">
        <v>199</v>
      </c>
      <c r="E47" s="35" t="s">
        <v>200</v>
      </c>
      <c r="F47" s="36" t="s">
        <v>168</v>
      </c>
      <c r="G47" s="34" t="s">
        <v>201</v>
      </c>
      <c r="H47" s="34" t="s">
        <v>172</v>
      </c>
      <c r="I47" s="18"/>
      <c r="J47" s="18"/>
      <c r="K47" s="18"/>
      <c r="L47" s="18"/>
      <c r="M47" s="18"/>
      <c r="N47" s="18"/>
      <c r="O47" s="18"/>
      <c r="P47" s="18"/>
      <c r="Q47" s="18"/>
      <c r="R47" s="18"/>
      <c r="S47" s="18"/>
      <c r="T47" s="18"/>
      <c r="U47" s="18"/>
      <c r="V47" s="18"/>
      <c r="W47" s="18"/>
      <c r="X47" s="18"/>
      <c r="Y47" s="18"/>
      <c r="Z47" s="18"/>
    </row>
    <row r="48" ht="15.75" customHeight="1">
      <c r="A48" s="28">
        <v>41.0</v>
      </c>
      <c r="B48" s="29" t="s">
        <v>96</v>
      </c>
      <c r="C48" s="30" t="s">
        <v>97</v>
      </c>
      <c r="D48" s="40" t="s">
        <v>199</v>
      </c>
      <c r="E48" s="35" t="s">
        <v>239</v>
      </c>
      <c r="F48" s="33">
        <v>10000.0</v>
      </c>
      <c r="G48" s="34" t="s">
        <v>201</v>
      </c>
      <c r="H48" s="34" t="s">
        <v>172</v>
      </c>
      <c r="I48" s="18"/>
      <c r="J48" s="18"/>
      <c r="K48" s="18"/>
      <c r="L48" s="18"/>
      <c r="M48" s="18"/>
      <c r="N48" s="18"/>
      <c r="O48" s="18"/>
      <c r="P48" s="18"/>
      <c r="Q48" s="18"/>
      <c r="R48" s="18"/>
      <c r="S48" s="18"/>
      <c r="T48" s="18"/>
      <c r="U48" s="18"/>
      <c r="V48" s="18"/>
      <c r="W48" s="18"/>
      <c r="X48" s="18"/>
      <c r="Y48" s="18"/>
      <c r="Z48" s="18"/>
    </row>
    <row r="49" ht="15.75" customHeight="1">
      <c r="A49" s="28">
        <v>42.0</v>
      </c>
      <c r="B49" s="29" t="s">
        <v>98</v>
      </c>
      <c r="C49" s="30" t="s">
        <v>99</v>
      </c>
      <c r="D49" s="40" t="s">
        <v>199</v>
      </c>
      <c r="E49" s="35" t="s">
        <v>230</v>
      </c>
      <c r="F49" s="36" t="s">
        <v>168</v>
      </c>
      <c r="G49" s="34" t="s">
        <v>201</v>
      </c>
      <c r="H49" s="34" t="s">
        <v>172</v>
      </c>
      <c r="I49" s="18"/>
      <c r="J49" s="18"/>
      <c r="K49" s="18"/>
      <c r="L49" s="18"/>
      <c r="M49" s="18"/>
      <c r="N49" s="18"/>
      <c r="O49" s="18"/>
      <c r="P49" s="18"/>
      <c r="Q49" s="18"/>
      <c r="R49" s="18"/>
      <c r="S49" s="18"/>
      <c r="T49" s="18"/>
      <c r="U49" s="18"/>
      <c r="V49" s="18"/>
      <c r="W49" s="18"/>
      <c r="X49" s="18"/>
      <c r="Y49" s="18"/>
      <c r="Z49" s="18"/>
    </row>
    <row r="50" ht="15.75" customHeight="1">
      <c r="A50" s="28">
        <v>43.0</v>
      </c>
      <c r="B50" s="29" t="s">
        <v>100</v>
      </c>
      <c r="C50" s="30" t="s">
        <v>101</v>
      </c>
      <c r="D50" s="43" t="s">
        <v>240</v>
      </c>
      <c r="E50" s="35" t="s">
        <v>241</v>
      </c>
      <c r="F50" s="33">
        <v>10000.0</v>
      </c>
      <c r="G50" s="34" t="s">
        <v>201</v>
      </c>
      <c r="H50" s="34" t="s">
        <v>172</v>
      </c>
      <c r="I50" s="18"/>
      <c r="J50" s="18"/>
      <c r="K50" s="18"/>
      <c r="L50" s="18"/>
      <c r="M50" s="18"/>
      <c r="N50" s="18"/>
      <c r="O50" s="18"/>
      <c r="P50" s="18"/>
      <c r="Q50" s="18"/>
      <c r="R50" s="18"/>
      <c r="S50" s="18"/>
      <c r="T50" s="18"/>
      <c r="U50" s="18"/>
      <c r="V50" s="18"/>
      <c r="W50" s="18"/>
      <c r="X50" s="18"/>
      <c r="Y50" s="18"/>
      <c r="Z50" s="18"/>
    </row>
    <row r="51" ht="15.75" customHeight="1">
      <c r="A51" s="28">
        <v>44.0</v>
      </c>
      <c r="B51" s="29" t="s">
        <v>102</v>
      </c>
      <c r="C51" s="30" t="s">
        <v>103</v>
      </c>
      <c r="D51" s="40" t="s">
        <v>199</v>
      </c>
      <c r="E51" s="35" t="s">
        <v>215</v>
      </c>
      <c r="F51" s="36" t="s">
        <v>168</v>
      </c>
      <c r="G51" s="34" t="s">
        <v>181</v>
      </c>
      <c r="H51" s="34" t="s">
        <v>161</v>
      </c>
      <c r="I51" s="18"/>
      <c r="J51" s="18"/>
      <c r="K51" s="18"/>
      <c r="L51" s="18"/>
      <c r="M51" s="18"/>
      <c r="N51" s="18"/>
      <c r="O51" s="18"/>
      <c r="P51" s="18"/>
      <c r="Q51" s="18"/>
      <c r="R51" s="18"/>
      <c r="S51" s="18"/>
      <c r="T51" s="18"/>
      <c r="U51" s="18"/>
      <c r="V51" s="18"/>
      <c r="W51" s="18"/>
      <c r="X51" s="18"/>
      <c r="Y51" s="18"/>
      <c r="Z51" s="18"/>
    </row>
    <row r="52" ht="15.75" customHeight="1">
      <c r="A52" s="28">
        <v>45.0</v>
      </c>
      <c r="B52" s="29" t="s">
        <v>104</v>
      </c>
      <c r="C52" s="30" t="s">
        <v>105</v>
      </c>
      <c r="D52" s="40" t="s">
        <v>242</v>
      </c>
      <c r="E52" s="35" t="s">
        <v>243</v>
      </c>
      <c r="F52" s="33">
        <v>84000.0</v>
      </c>
      <c r="G52" s="34" t="s">
        <v>181</v>
      </c>
      <c r="H52" s="34" t="s">
        <v>172</v>
      </c>
      <c r="I52" s="18"/>
      <c r="J52" s="18"/>
      <c r="K52" s="18"/>
      <c r="L52" s="18"/>
      <c r="M52" s="18"/>
      <c r="N52" s="18"/>
      <c r="O52" s="18"/>
      <c r="P52" s="18"/>
      <c r="Q52" s="18"/>
      <c r="R52" s="18"/>
      <c r="S52" s="18"/>
      <c r="T52" s="18"/>
      <c r="U52" s="18"/>
      <c r="V52" s="18"/>
      <c r="W52" s="18"/>
      <c r="X52" s="18"/>
      <c r="Y52" s="18"/>
      <c r="Z52" s="18"/>
    </row>
    <row r="53" ht="15.75" customHeight="1">
      <c r="A53" s="28">
        <v>46.0</v>
      </c>
      <c r="B53" s="29" t="s">
        <v>106</v>
      </c>
      <c r="C53" s="30" t="s">
        <v>107</v>
      </c>
      <c r="D53" s="40" t="s">
        <v>244</v>
      </c>
      <c r="E53" s="35" t="s">
        <v>245</v>
      </c>
      <c r="F53" s="33">
        <v>25000.0</v>
      </c>
      <c r="G53" s="34" t="s">
        <v>210</v>
      </c>
      <c r="H53" s="34" t="s">
        <v>182</v>
      </c>
      <c r="I53" s="18"/>
      <c r="J53" s="18"/>
      <c r="K53" s="18"/>
      <c r="L53" s="18"/>
      <c r="M53" s="18"/>
      <c r="N53" s="18"/>
      <c r="O53" s="18"/>
      <c r="P53" s="18"/>
      <c r="Q53" s="18"/>
      <c r="R53" s="18"/>
      <c r="S53" s="18"/>
      <c r="T53" s="18"/>
      <c r="U53" s="18"/>
      <c r="V53" s="18"/>
      <c r="W53" s="18"/>
      <c r="X53" s="18"/>
      <c r="Y53" s="18"/>
      <c r="Z53" s="18"/>
    </row>
    <row r="54" ht="15.75" customHeight="1">
      <c r="A54" s="28">
        <v>47.0</v>
      </c>
      <c r="B54" s="29" t="s">
        <v>108</v>
      </c>
      <c r="C54" s="30" t="s">
        <v>109</v>
      </c>
      <c r="D54" s="40" t="s">
        <v>246</v>
      </c>
      <c r="E54" s="35" t="s">
        <v>247</v>
      </c>
      <c r="F54" s="33">
        <v>15000.0</v>
      </c>
      <c r="G54" s="34" t="s">
        <v>181</v>
      </c>
      <c r="H54" s="34" t="s">
        <v>172</v>
      </c>
      <c r="I54" s="18"/>
      <c r="J54" s="18"/>
      <c r="K54" s="18"/>
      <c r="L54" s="18"/>
      <c r="M54" s="18"/>
      <c r="N54" s="18"/>
      <c r="O54" s="18"/>
      <c r="P54" s="18"/>
      <c r="Q54" s="18"/>
      <c r="R54" s="18"/>
      <c r="S54" s="18"/>
      <c r="T54" s="18"/>
      <c r="U54" s="18"/>
      <c r="V54" s="18"/>
      <c r="W54" s="18"/>
      <c r="X54" s="18"/>
      <c r="Y54" s="18"/>
      <c r="Z54" s="18"/>
    </row>
    <row r="55" ht="15.75" customHeight="1">
      <c r="A55" s="28">
        <v>48.0</v>
      </c>
      <c r="B55" s="29" t="s">
        <v>110</v>
      </c>
      <c r="C55" s="30" t="s">
        <v>111</v>
      </c>
      <c r="D55" s="40" t="s">
        <v>248</v>
      </c>
      <c r="E55" s="35" t="s">
        <v>249</v>
      </c>
      <c r="F55" s="36"/>
      <c r="G55" s="34" t="s">
        <v>220</v>
      </c>
      <c r="H55" s="34" t="s">
        <v>172</v>
      </c>
      <c r="I55" s="18"/>
      <c r="J55" s="18"/>
      <c r="K55" s="18"/>
      <c r="L55" s="18"/>
      <c r="M55" s="18"/>
      <c r="N55" s="18"/>
      <c r="O55" s="18"/>
      <c r="P55" s="18"/>
      <c r="Q55" s="18"/>
      <c r="R55" s="18"/>
      <c r="S55" s="18"/>
      <c r="T55" s="18"/>
      <c r="U55" s="18"/>
      <c r="V55" s="18"/>
      <c r="W55" s="18"/>
      <c r="X55" s="18"/>
      <c r="Y55" s="18"/>
      <c r="Z55" s="18"/>
    </row>
    <row r="56" ht="15.75" customHeight="1">
      <c r="A56" s="28">
        <v>49.0</v>
      </c>
      <c r="B56" s="29" t="s">
        <v>112</v>
      </c>
      <c r="C56" s="30" t="s">
        <v>113</v>
      </c>
      <c r="D56" s="40" t="s">
        <v>250</v>
      </c>
      <c r="E56" s="35" t="s">
        <v>251</v>
      </c>
      <c r="F56" s="33">
        <v>40000.0</v>
      </c>
      <c r="G56" s="34" t="s">
        <v>220</v>
      </c>
      <c r="H56" s="34" t="s">
        <v>172</v>
      </c>
      <c r="I56" s="18"/>
      <c r="J56" s="18"/>
      <c r="K56" s="18"/>
      <c r="L56" s="18"/>
      <c r="M56" s="18"/>
      <c r="N56" s="18"/>
      <c r="O56" s="18"/>
      <c r="P56" s="18"/>
      <c r="Q56" s="18"/>
      <c r="R56" s="18"/>
      <c r="S56" s="18"/>
      <c r="T56" s="18"/>
      <c r="U56" s="18"/>
      <c r="V56" s="18"/>
      <c r="W56" s="18"/>
      <c r="X56" s="18"/>
      <c r="Y56" s="18"/>
      <c r="Z56" s="18"/>
    </row>
    <row r="57" ht="15.75" customHeight="1">
      <c r="A57" s="28">
        <v>50.0</v>
      </c>
      <c r="B57" s="29" t="s">
        <v>114</v>
      </c>
      <c r="C57" s="30" t="s">
        <v>115</v>
      </c>
      <c r="D57" s="40" t="s">
        <v>199</v>
      </c>
      <c r="E57" s="35" t="s">
        <v>203</v>
      </c>
      <c r="F57" s="36" t="s">
        <v>168</v>
      </c>
      <c r="G57" s="34" t="s">
        <v>181</v>
      </c>
      <c r="H57" s="34" t="s">
        <v>161</v>
      </c>
      <c r="I57" s="18"/>
      <c r="J57" s="18"/>
      <c r="K57" s="18"/>
      <c r="L57" s="18"/>
      <c r="M57" s="18"/>
      <c r="N57" s="18"/>
      <c r="O57" s="18"/>
      <c r="P57" s="18"/>
      <c r="Q57" s="18"/>
      <c r="R57" s="18"/>
      <c r="S57" s="18"/>
      <c r="T57" s="18"/>
      <c r="U57" s="18"/>
      <c r="V57" s="18"/>
      <c r="W57" s="18"/>
      <c r="X57" s="18"/>
      <c r="Y57" s="18"/>
      <c r="Z57" s="18"/>
    </row>
    <row r="58" ht="15.75" customHeight="1">
      <c r="A58" s="28">
        <v>51.0</v>
      </c>
      <c r="B58" s="29" t="s">
        <v>116</v>
      </c>
      <c r="C58" s="30" t="s">
        <v>117</v>
      </c>
      <c r="D58" s="40" t="s">
        <v>199</v>
      </c>
      <c r="E58" s="5" t="s">
        <v>200</v>
      </c>
      <c r="F58" s="36"/>
      <c r="G58" s="34" t="s">
        <v>220</v>
      </c>
      <c r="H58" s="34" t="s">
        <v>172</v>
      </c>
      <c r="I58" s="18"/>
      <c r="J58" s="18"/>
      <c r="K58" s="18"/>
      <c r="L58" s="18"/>
      <c r="M58" s="18"/>
      <c r="N58" s="18"/>
      <c r="O58" s="18"/>
      <c r="P58" s="18"/>
      <c r="Q58" s="18"/>
      <c r="R58" s="18"/>
      <c r="S58" s="18"/>
      <c r="T58" s="18"/>
      <c r="U58" s="18"/>
      <c r="V58" s="18"/>
      <c r="W58" s="18"/>
      <c r="X58" s="18"/>
      <c r="Y58" s="18"/>
      <c r="Z58" s="18"/>
    </row>
    <row r="59" ht="15.75" customHeight="1">
      <c r="A59" s="28">
        <v>52.0</v>
      </c>
      <c r="B59" s="29" t="s">
        <v>118</v>
      </c>
      <c r="C59" s="30" t="s">
        <v>119</v>
      </c>
      <c r="D59" s="40" t="s">
        <v>252</v>
      </c>
      <c r="E59" s="5" t="s">
        <v>253</v>
      </c>
      <c r="F59" s="36" t="s">
        <v>168</v>
      </c>
      <c r="G59" s="34" t="s">
        <v>254</v>
      </c>
      <c r="H59" s="34" t="s">
        <v>178</v>
      </c>
      <c r="I59" s="18"/>
      <c r="J59" s="18"/>
      <c r="K59" s="18"/>
      <c r="L59" s="18"/>
      <c r="M59" s="18"/>
      <c r="N59" s="18"/>
      <c r="O59" s="18"/>
      <c r="P59" s="18"/>
      <c r="Q59" s="18"/>
      <c r="R59" s="18"/>
      <c r="S59" s="18"/>
      <c r="T59" s="18"/>
      <c r="U59" s="18"/>
      <c r="V59" s="18"/>
      <c r="W59" s="18"/>
      <c r="X59" s="18"/>
      <c r="Y59" s="18"/>
      <c r="Z59" s="18"/>
    </row>
    <row r="60" ht="15.75" customHeight="1">
      <c r="A60" s="28">
        <v>53.0</v>
      </c>
      <c r="B60" s="29" t="s">
        <v>120</v>
      </c>
      <c r="C60" s="30" t="s">
        <v>121</v>
      </c>
      <c r="D60" s="40" t="s">
        <v>255</v>
      </c>
      <c r="E60" s="5" t="s">
        <v>256</v>
      </c>
      <c r="F60" s="33">
        <v>23000.0</v>
      </c>
      <c r="G60" s="34" t="s">
        <v>201</v>
      </c>
      <c r="H60" s="34" t="s">
        <v>172</v>
      </c>
      <c r="I60" s="18"/>
      <c r="J60" s="18"/>
      <c r="K60" s="18"/>
      <c r="L60" s="18"/>
      <c r="M60" s="18"/>
      <c r="N60" s="18"/>
      <c r="O60" s="18"/>
      <c r="P60" s="18"/>
      <c r="Q60" s="18"/>
      <c r="R60" s="18"/>
      <c r="S60" s="18"/>
      <c r="T60" s="18"/>
      <c r="U60" s="18"/>
      <c r="V60" s="18"/>
      <c r="W60" s="18"/>
      <c r="X60" s="18"/>
      <c r="Y60" s="18"/>
      <c r="Z60" s="18"/>
    </row>
    <row r="61" ht="15.75" customHeight="1">
      <c r="A61" s="28">
        <v>54.0</v>
      </c>
      <c r="B61" s="29" t="s">
        <v>122</v>
      </c>
      <c r="C61" s="30" t="s">
        <v>123</v>
      </c>
      <c r="D61" s="40" t="s">
        <v>257</v>
      </c>
      <c r="E61" s="5" t="s">
        <v>258</v>
      </c>
      <c r="F61" s="33">
        <v>30000.0</v>
      </c>
      <c r="G61" s="34" t="s">
        <v>220</v>
      </c>
      <c r="H61" s="34" t="s">
        <v>172</v>
      </c>
      <c r="I61" s="18"/>
      <c r="J61" s="18"/>
      <c r="K61" s="18"/>
      <c r="L61" s="18"/>
      <c r="M61" s="18"/>
      <c r="N61" s="18"/>
      <c r="O61" s="18"/>
      <c r="P61" s="18"/>
      <c r="Q61" s="18"/>
      <c r="R61" s="18"/>
      <c r="S61" s="18"/>
      <c r="T61" s="18"/>
      <c r="U61" s="18"/>
      <c r="V61" s="18"/>
      <c r="W61" s="18"/>
      <c r="X61" s="18"/>
      <c r="Y61" s="18"/>
      <c r="Z61" s="18"/>
    </row>
    <row r="62" ht="15.75" customHeight="1">
      <c r="A62" s="28">
        <v>55.0</v>
      </c>
      <c r="B62" s="29" t="s">
        <v>124</v>
      </c>
      <c r="C62" s="30" t="s">
        <v>125</v>
      </c>
      <c r="D62" s="40" t="s">
        <v>259</v>
      </c>
      <c r="E62" s="5" t="s">
        <v>251</v>
      </c>
      <c r="F62" s="33">
        <v>40000.0</v>
      </c>
      <c r="G62" s="34" t="s">
        <v>201</v>
      </c>
      <c r="H62" s="34" t="s">
        <v>172</v>
      </c>
      <c r="I62" s="18"/>
      <c r="J62" s="18"/>
      <c r="K62" s="18"/>
      <c r="L62" s="18"/>
      <c r="M62" s="18"/>
      <c r="N62" s="18"/>
      <c r="O62" s="18"/>
      <c r="P62" s="18"/>
      <c r="Q62" s="18"/>
      <c r="R62" s="18"/>
      <c r="S62" s="18"/>
      <c r="T62" s="18"/>
      <c r="U62" s="18"/>
      <c r="V62" s="18"/>
      <c r="W62" s="18"/>
      <c r="X62" s="18"/>
      <c r="Y62" s="18"/>
      <c r="Z62" s="18"/>
    </row>
    <row r="63" ht="15.75" customHeight="1">
      <c r="A63" s="28">
        <v>56.0</v>
      </c>
      <c r="B63" s="29" t="s">
        <v>126</v>
      </c>
      <c r="C63" s="30" t="s">
        <v>127</v>
      </c>
      <c r="D63" s="40" t="s">
        <v>199</v>
      </c>
      <c r="E63" s="5" t="s">
        <v>230</v>
      </c>
      <c r="F63" s="36" t="s">
        <v>168</v>
      </c>
      <c r="G63" s="34" t="s">
        <v>220</v>
      </c>
      <c r="H63" s="34" t="s">
        <v>172</v>
      </c>
      <c r="I63" s="18"/>
      <c r="J63" s="18"/>
      <c r="K63" s="18"/>
      <c r="L63" s="18"/>
      <c r="M63" s="18"/>
      <c r="N63" s="18"/>
      <c r="O63" s="18"/>
      <c r="P63" s="18"/>
      <c r="Q63" s="18"/>
      <c r="R63" s="18"/>
      <c r="S63" s="18"/>
      <c r="T63" s="18"/>
      <c r="U63" s="18"/>
      <c r="V63" s="18"/>
      <c r="W63" s="18"/>
      <c r="X63" s="18"/>
      <c r="Y63" s="18"/>
      <c r="Z63" s="18"/>
    </row>
    <row r="64" ht="15.75" customHeight="1">
      <c r="A64" s="28">
        <v>57.0</v>
      </c>
      <c r="B64" s="29" t="s">
        <v>128</v>
      </c>
      <c r="C64" s="30" t="s">
        <v>129</v>
      </c>
      <c r="D64" s="40" t="s">
        <v>260</v>
      </c>
      <c r="E64" s="5" t="s">
        <v>261</v>
      </c>
      <c r="F64" s="36" t="s">
        <v>262</v>
      </c>
      <c r="G64" s="34" t="s">
        <v>263</v>
      </c>
      <c r="H64" s="34" t="s">
        <v>172</v>
      </c>
      <c r="I64" s="18"/>
      <c r="J64" s="18"/>
      <c r="K64" s="18"/>
      <c r="L64" s="18"/>
      <c r="M64" s="18"/>
      <c r="N64" s="18"/>
      <c r="O64" s="18"/>
      <c r="P64" s="18"/>
      <c r="Q64" s="18"/>
      <c r="R64" s="18"/>
      <c r="S64" s="18"/>
      <c r="T64" s="18"/>
      <c r="U64" s="18"/>
      <c r="V64" s="18"/>
      <c r="W64" s="18"/>
      <c r="X64" s="18"/>
      <c r="Y64" s="18"/>
      <c r="Z64" s="18"/>
    </row>
    <row r="65" ht="15.75" customHeight="1">
      <c r="A65" s="28">
        <v>58.0</v>
      </c>
      <c r="B65" s="29" t="s">
        <v>130</v>
      </c>
      <c r="C65" s="30" t="s">
        <v>131</v>
      </c>
      <c r="D65" s="40" t="s">
        <v>199</v>
      </c>
      <c r="E65" s="5" t="s">
        <v>264</v>
      </c>
      <c r="F65" s="36" t="s">
        <v>168</v>
      </c>
      <c r="G65" s="34" t="s">
        <v>181</v>
      </c>
      <c r="H65" s="34" t="s">
        <v>161</v>
      </c>
      <c r="I65" s="18"/>
      <c r="J65" s="18"/>
      <c r="K65" s="18"/>
      <c r="L65" s="18"/>
      <c r="M65" s="18"/>
      <c r="N65" s="18"/>
      <c r="O65" s="18"/>
      <c r="P65" s="18"/>
      <c r="Q65" s="18"/>
      <c r="R65" s="18"/>
      <c r="S65" s="18"/>
      <c r="T65" s="18"/>
      <c r="U65" s="18"/>
      <c r="V65" s="18"/>
      <c r="W65" s="18"/>
      <c r="X65" s="18"/>
      <c r="Y65" s="18"/>
      <c r="Z65" s="18"/>
    </row>
    <row r="66" ht="15.75" customHeight="1">
      <c r="A66" s="28">
        <v>59.0</v>
      </c>
      <c r="B66" s="29" t="s">
        <v>132</v>
      </c>
      <c r="C66" s="30" t="s">
        <v>133</v>
      </c>
      <c r="D66" s="40" t="s">
        <v>199</v>
      </c>
      <c r="E66" s="5" t="s">
        <v>265</v>
      </c>
      <c r="F66" s="36" t="s">
        <v>168</v>
      </c>
      <c r="G66" s="34" t="s">
        <v>220</v>
      </c>
      <c r="H66" s="34" t="s">
        <v>172</v>
      </c>
      <c r="I66" s="18"/>
      <c r="J66" s="18"/>
      <c r="K66" s="18"/>
      <c r="L66" s="18"/>
      <c r="M66" s="18"/>
      <c r="N66" s="18"/>
      <c r="O66" s="18"/>
      <c r="P66" s="18"/>
      <c r="Q66" s="18"/>
      <c r="R66" s="18"/>
      <c r="S66" s="18"/>
      <c r="T66" s="18"/>
      <c r="U66" s="18"/>
      <c r="V66" s="18"/>
      <c r="W66" s="18"/>
      <c r="X66" s="18"/>
      <c r="Y66" s="18"/>
      <c r="Z66" s="18"/>
    </row>
    <row r="67" ht="15.75" customHeight="1">
      <c r="A67" s="28">
        <v>60.0</v>
      </c>
      <c r="B67" s="29" t="s">
        <v>134</v>
      </c>
      <c r="C67" s="30" t="s">
        <v>135</v>
      </c>
      <c r="D67" s="40" t="s">
        <v>266</v>
      </c>
      <c r="E67" s="5" t="s">
        <v>267</v>
      </c>
      <c r="F67" s="36" t="s">
        <v>168</v>
      </c>
      <c r="G67" s="34" t="s">
        <v>220</v>
      </c>
      <c r="H67" s="34" t="s">
        <v>172</v>
      </c>
      <c r="I67" s="18"/>
      <c r="J67" s="18"/>
      <c r="K67" s="18"/>
      <c r="L67" s="18"/>
      <c r="M67" s="18"/>
      <c r="N67" s="18"/>
      <c r="O67" s="18"/>
      <c r="P67" s="18"/>
      <c r="Q67" s="18"/>
      <c r="R67" s="18"/>
      <c r="S67" s="18"/>
      <c r="T67" s="18"/>
      <c r="U67" s="18"/>
      <c r="V67" s="18"/>
      <c r="W67" s="18"/>
      <c r="X67" s="18"/>
      <c r="Y67" s="18"/>
      <c r="Z67" s="18"/>
    </row>
    <row r="68" ht="15.75" customHeight="1">
      <c r="A68" s="28">
        <v>61.0</v>
      </c>
      <c r="B68" s="29" t="s">
        <v>136</v>
      </c>
      <c r="C68" s="30" t="s">
        <v>137</v>
      </c>
      <c r="D68" s="40" t="s">
        <v>268</v>
      </c>
      <c r="E68" s="5" t="s">
        <v>269</v>
      </c>
      <c r="F68" s="36" t="s">
        <v>168</v>
      </c>
      <c r="G68" s="34" t="s">
        <v>220</v>
      </c>
      <c r="H68" s="34" t="s">
        <v>172</v>
      </c>
      <c r="I68" s="18"/>
      <c r="J68" s="18"/>
      <c r="K68" s="18"/>
      <c r="L68" s="18"/>
      <c r="M68" s="18"/>
      <c r="N68" s="18"/>
      <c r="O68" s="18"/>
      <c r="P68" s="18"/>
      <c r="Q68" s="18"/>
      <c r="R68" s="18"/>
      <c r="S68" s="18"/>
      <c r="T68" s="18"/>
      <c r="U68" s="18"/>
      <c r="V68" s="18"/>
      <c r="W68" s="18"/>
      <c r="X68" s="18"/>
      <c r="Y68" s="18"/>
      <c r="Z68" s="18"/>
    </row>
    <row r="69" ht="15.75" customHeight="1">
      <c r="A69" s="28">
        <v>62.0</v>
      </c>
      <c r="B69" s="29" t="s">
        <v>138</v>
      </c>
      <c r="C69" s="30" t="s">
        <v>139</v>
      </c>
      <c r="D69" s="40" t="s">
        <v>199</v>
      </c>
      <c r="E69" s="5" t="s">
        <v>270</v>
      </c>
      <c r="F69" s="36" t="s">
        <v>168</v>
      </c>
      <c r="G69" s="34" t="s">
        <v>201</v>
      </c>
      <c r="H69" s="34" t="s">
        <v>172</v>
      </c>
      <c r="I69" s="18"/>
      <c r="J69" s="18"/>
      <c r="K69" s="18"/>
      <c r="L69" s="18"/>
      <c r="M69" s="18"/>
      <c r="N69" s="18"/>
      <c r="O69" s="18"/>
      <c r="P69" s="18"/>
      <c r="Q69" s="18"/>
      <c r="R69" s="18"/>
      <c r="S69" s="18"/>
      <c r="T69" s="18"/>
      <c r="U69" s="18"/>
      <c r="V69" s="18"/>
      <c r="W69" s="18"/>
      <c r="X69" s="18"/>
      <c r="Y69" s="18"/>
      <c r="Z69" s="18"/>
    </row>
    <row r="70" ht="15.75" customHeight="1">
      <c r="A70" s="28">
        <v>63.0</v>
      </c>
      <c r="B70" s="29" t="s">
        <v>140</v>
      </c>
      <c r="C70" s="30" t="s">
        <v>141</v>
      </c>
      <c r="D70" s="40" t="s">
        <v>271</v>
      </c>
      <c r="E70" s="5" t="s">
        <v>264</v>
      </c>
      <c r="F70" s="36"/>
      <c r="G70" s="34" t="s">
        <v>220</v>
      </c>
      <c r="H70" s="34" t="s">
        <v>172</v>
      </c>
      <c r="I70" s="18"/>
      <c r="J70" s="18"/>
      <c r="K70" s="18"/>
      <c r="L70" s="18"/>
      <c r="M70" s="18"/>
      <c r="N70" s="18"/>
      <c r="O70" s="18"/>
      <c r="P70" s="18"/>
      <c r="Q70" s="18"/>
      <c r="R70" s="18"/>
      <c r="S70" s="18"/>
      <c r="T70" s="18"/>
      <c r="U70" s="18"/>
      <c r="V70" s="18"/>
      <c r="W70" s="18"/>
      <c r="X70" s="18"/>
      <c r="Y70" s="18"/>
      <c r="Z70" s="18"/>
    </row>
    <row r="71" ht="15.75" customHeight="1">
      <c r="A71" s="28">
        <v>64.0</v>
      </c>
      <c r="B71" s="29" t="s">
        <v>142</v>
      </c>
      <c r="C71" s="30" t="s">
        <v>143</v>
      </c>
      <c r="D71" s="40" t="s">
        <v>213</v>
      </c>
      <c r="E71" s="5" t="s">
        <v>214</v>
      </c>
      <c r="F71" s="36" t="s">
        <v>168</v>
      </c>
      <c r="G71" s="34" t="s">
        <v>181</v>
      </c>
      <c r="H71" s="34" t="s">
        <v>161</v>
      </c>
      <c r="I71" s="18"/>
      <c r="J71" s="18"/>
      <c r="K71" s="18"/>
      <c r="L71" s="18"/>
      <c r="M71" s="18"/>
      <c r="N71" s="18"/>
      <c r="O71" s="18"/>
      <c r="P71" s="18"/>
      <c r="Q71" s="18"/>
      <c r="R71" s="18"/>
      <c r="S71" s="18"/>
      <c r="T71" s="18"/>
      <c r="U71" s="18"/>
      <c r="V71" s="18"/>
      <c r="W71" s="18"/>
      <c r="X71" s="18"/>
      <c r="Y71" s="18"/>
      <c r="Z71" s="18"/>
    </row>
    <row r="72" ht="15.75" customHeight="1">
      <c r="A72" s="28">
        <v>65.0</v>
      </c>
      <c r="B72" s="29" t="s">
        <v>144</v>
      </c>
      <c r="C72" s="30" t="s">
        <v>145</v>
      </c>
      <c r="D72" s="40" t="s">
        <v>272</v>
      </c>
      <c r="E72" s="5" t="s">
        <v>273</v>
      </c>
      <c r="F72" s="36" t="s">
        <v>168</v>
      </c>
      <c r="G72" s="34" t="s">
        <v>201</v>
      </c>
      <c r="H72" s="34" t="s">
        <v>172</v>
      </c>
      <c r="I72" s="18"/>
      <c r="J72" s="18"/>
      <c r="K72" s="18"/>
      <c r="L72" s="18"/>
      <c r="M72" s="18"/>
      <c r="N72" s="18"/>
      <c r="O72" s="18"/>
      <c r="P72" s="18"/>
      <c r="Q72" s="18"/>
      <c r="R72" s="18"/>
      <c r="S72" s="18"/>
      <c r="T72" s="18"/>
      <c r="U72" s="18"/>
      <c r="V72" s="18"/>
      <c r="W72" s="18"/>
      <c r="X72" s="18"/>
      <c r="Y72" s="18"/>
      <c r="Z72" s="18"/>
    </row>
    <row r="73" ht="15.75" customHeight="1">
      <c r="A73" s="28">
        <v>66.0</v>
      </c>
      <c r="B73" s="29" t="s">
        <v>146</v>
      </c>
      <c r="C73" s="30" t="s">
        <v>147</v>
      </c>
      <c r="D73" s="40" t="s">
        <v>274</v>
      </c>
      <c r="E73" s="5" t="s">
        <v>275</v>
      </c>
      <c r="F73" s="33">
        <v>35000.0</v>
      </c>
      <c r="G73" s="34" t="s">
        <v>181</v>
      </c>
      <c r="H73" s="34" t="s">
        <v>161</v>
      </c>
      <c r="I73" s="18"/>
      <c r="J73" s="18"/>
      <c r="K73" s="18"/>
      <c r="L73" s="18"/>
      <c r="M73" s="18"/>
      <c r="N73" s="18"/>
      <c r="O73" s="18"/>
      <c r="P73" s="18"/>
      <c r="Q73" s="18"/>
      <c r="R73" s="18"/>
      <c r="S73" s="18"/>
      <c r="T73" s="18"/>
      <c r="U73" s="18"/>
      <c r="V73" s="18"/>
      <c r="W73" s="18"/>
      <c r="X73" s="18"/>
      <c r="Y73" s="18"/>
      <c r="Z73" s="18"/>
    </row>
    <row r="74" ht="15.75" customHeight="1">
      <c r="A74" s="28">
        <v>67.0</v>
      </c>
      <c r="B74" s="29" t="s">
        <v>148</v>
      </c>
      <c r="C74" s="30" t="s">
        <v>149</v>
      </c>
      <c r="D74" s="40" t="s">
        <v>196</v>
      </c>
      <c r="E74" s="5" t="s">
        <v>197</v>
      </c>
      <c r="F74" s="36" t="s">
        <v>168</v>
      </c>
      <c r="G74" s="34" t="s">
        <v>220</v>
      </c>
      <c r="H74" s="34" t="s">
        <v>172</v>
      </c>
      <c r="I74" s="18"/>
      <c r="J74" s="18"/>
      <c r="K74" s="18"/>
      <c r="L74" s="18"/>
      <c r="M74" s="18"/>
      <c r="N74" s="18"/>
      <c r="O74" s="18"/>
      <c r="P74" s="18"/>
      <c r="Q74" s="18"/>
      <c r="R74" s="18"/>
      <c r="S74" s="18"/>
      <c r="T74" s="18"/>
      <c r="U74" s="18"/>
      <c r="V74" s="18"/>
      <c r="W74" s="18"/>
      <c r="X74" s="18"/>
      <c r="Y74" s="18"/>
      <c r="Z74" s="18"/>
    </row>
    <row r="75" ht="15.75" customHeight="1">
      <c r="A75" s="44"/>
      <c r="B75" s="44"/>
      <c r="C75" s="45"/>
      <c r="D75" s="44"/>
      <c r="E75" s="44"/>
      <c r="F75" s="44"/>
      <c r="G75" s="18"/>
      <c r="H75" s="18"/>
      <c r="I75" s="18"/>
      <c r="J75" s="18"/>
      <c r="K75" s="18"/>
      <c r="L75" s="18"/>
      <c r="M75" s="18"/>
      <c r="N75" s="18"/>
      <c r="O75" s="18"/>
      <c r="P75" s="18"/>
      <c r="Q75" s="18"/>
      <c r="R75" s="18"/>
      <c r="S75" s="18"/>
      <c r="T75" s="18"/>
      <c r="U75" s="18"/>
      <c r="V75" s="18"/>
      <c r="W75" s="18"/>
      <c r="X75" s="18"/>
      <c r="Y75" s="18"/>
      <c r="Z75" s="18"/>
    </row>
    <row r="76" ht="15.75" customHeight="1">
      <c r="A76" s="44"/>
      <c r="B76" s="44"/>
      <c r="C76" s="45"/>
      <c r="D76" s="44"/>
      <c r="E76" s="44"/>
      <c r="F76" s="44"/>
      <c r="G76" s="18"/>
      <c r="H76" s="18"/>
      <c r="I76" s="18"/>
      <c r="J76" s="18"/>
      <c r="K76" s="18"/>
      <c r="L76" s="18"/>
      <c r="M76" s="18"/>
      <c r="N76" s="18"/>
      <c r="O76" s="18"/>
      <c r="P76" s="18"/>
      <c r="Q76" s="18"/>
      <c r="R76" s="18"/>
      <c r="S76" s="18"/>
      <c r="T76" s="18"/>
      <c r="U76" s="18"/>
      <c r="V76" s="18"/>
      <c r="W76" s="18"/>
      <c r="X76" s="18"/>
      <c r="Y76" s="18"/>
      <c r="Z76" s="18"/>
    </row>
    <row r="77" ht="15.75" customHeight="1">
      <c r="A77" s="44"/>
      <c r="B77" s="44"/>
      <c r="C77" s="45"/>
      <c r="D77" s="44"/>
      <c r="E77" s="44"/>
      <c r="F77" s="44"/>
      <c r="G77" s="18"/>
      <c r="H77" s="18"/>
      <c r="I77" s="18"/>
      <c r="J77" s="18"/>
      <c r="K77" s="18"/>
      <c r="L77" s="18"/>
      <c r="M77" s="18"/>
      <c r="N77" s="18"/>
      <c r="O77" s="18"/>
      <c r="P77" s="18"/>
      <c r="Q77" s="18"/>
      <c r="R77" s="18"/>
      <c r="S77" s="18"/>
      <c r="T77" s="18"/>
      <c r="U77" s="18"/>
      <c r="V77" s="18"/>
      <c r="W77" s="18"/>
      <c r="X77" s="18"/>
      <c r="Y77" s="18"/>
      <c r="Z77" s="18"/>
    </row>
    <row r="78" ht="15.75" customHeight="1">
      <c r="A78" s="44"/>
      <c r="B78" s="44"/>
      <c r="C78" s="45"/>
      <c r="D78" s="44"/>
      <c r="E78" s="44"/>
      <c r="F78" s="44"/>
      <c r="G78" s="18"/>
      <c r="H78" s="18"/>
      <c r="I78" s="18"/>
      <c r="J78" s="18"/>
      <c r="K78" s="18"/>
      <c r="L78" s="18"/>
      <c r="M78" s="18"/>
      <c r="N78" s="18"/>
      <c r="O78" s="18"/>
      <c r="P78" s="18"/>
      <c r="Q78" s="18"/>
      <c r="R78" s="18"/>
      <c r="S78" s="18"/>
      <c r="T78" s="18"/>
      <c r="U78" s="18"/>
      <c r="V78" s="18"/>
      <c r="W78" s="18"/>
      <c r="X78" s="18"/>
      <c r="Y78" s="18"/>
      <c r="Z78" s="18"/>
    </row>
    <row r="79" ht="15.75" customHeight="1">
      <c r="A79" s="44"/>
      <c r="B79" s="44"/>
      <c r="C79" s="45"/>
      <c r="D79" s="44"/>
      <c r="E79" s="44"/>
      <c r="F79" s="44"/>
      <c r="G79" s="18"/>
      <c r="H79" s="18"/>
      <c r="I79" s="18"/>
      <c r="J79" s="18"/>
      <c r="K79" s="18"/>
      <c r="L79" s="18"/>
      <c r="M79" s="18"/>
      <c r="N79" s="18"/>
      <c r="O79" s="18"/>
      <c r="P79" s="18"/>
      <c r="Q79" s="18"/>
      <c r="R79" s="18"/>
      <c r="S79" s="18"/>
      <c r="T79" s="18"/>
      <c r="U79" s="18"/>
      <c r="V79" s="18"/>
      <c r="W79" s="18"/>
      <c r="X79" s="18"/>
      <c r="Y79" s="18"/>
      <c r="Z79" s="18"/>
    </row>
    <row r="80" ht="15.75" customHeight="1">
      <c r="A80" s="44"/>
      <c r="B80" s="44"/>
      <c r="C80" s="45"/>
      <c r="D80" s="44"/>
      <c r="E80" s="44"/>
      <c r="F80" s="44"/>
      <c r="G80" s="18"/>
      <c r="H80" s="18"/>
      <c r="I80" s="18"/>
      <c r="J80" s="18"/>
      <c r="K80" s="18"/>
      <c r="L80" s="18"/>
      <c r="M80" s="18"/>
      <c r="N80" s="18"/>
      <c r="O80" s="18"/>
      <c r="P80" s="18"/>
      <c r="Q80" s="18"/>
      <c r="R80" s="18"/>
      <c r="S80" s="18"/>
      <c r="T80" s="18"/>
      <c r="U80" s="18"/>
      <c r="V80" s="18"/>
      <c r="W80" s="18"/>
      <c r="X80" s="18"/>
      <c r="Y80" s="18"/>
      <c r="Z80" s="18"/>
    </row>
    <row r="81" ht="15.75" customHeight="1">
      <c r="A81" s="44"/>
      <c r="B81" s="44"/>
      <c r="C81" s="45"/>
      <c r="D81" s="44"/>
      <c r="E81" s="44"/>
      <c r="F81" s="44"/>
      <c r="G81" s="18"/>
      <c r="H81" s="18"/>
      <c r="I81" s="18"/>
      <c r="J81" s="18"/>
      <c r="K81" s="18"/>
      <c r="L81" s="18"/>
      <c r="M81" s="18"/>
      <c r="N81" s="18"/>
      <c r="O81" s="18"/>
      <c r="P81" s="18"/>
      <c r="Q81" s="18"/>
      <c r="R81" s="18"/>
      <c r="S81" s="18"/>
      <c r="T81" s="18"/>
      <c r="U81" s="18"/>
      <c r="V81" s="18"/>
      <c r="W81" s="18"/>
      <c r="X81" s="18"/>
      <c r="Y81" s="18"/>
      <c r="Z81" s="18"/>
    </row>
    <row r="82" ht="15.75" customHeight="1">
      <c r="A82" s="44"/>
      <c r="B82" s="44"/>
      <c r="C82" s="45"/>
      <c r="D82" s="44"/>
      <c r="E82" s="44"/>
      <c r="F82" s="44"/>
      <c r="G82" s="18"/>
      <c r="H82" s="18"/>
      <c r="I82" s="18"/>
      <c r="J82" s="18"/>
      <c r="K82" s="18"/>
      <c r="L82" s="18"/>
      <c r="M82" s="18"/>
      <c r="N82" s="18"/>
      <c r="O82" s="18"/>
      <c r="P82" s="18"/>
      <c r="Q82" s="18"/>
      <c r="R82" s="18"/>
      <c r="S82" s="18"/>
      <c r="T82" s="18"/>
      <c r="U82" s="18"/>
      <c r="V82" s="18"/>
      <c r="W82" s="18"/>
      <c r="X82" s="18"/>
      <c r="Y82" s="18"/>
      <c r="Z82" s="18"/>
    </row>
    <row r="83" ht="15.75" customHeight="1">
      <c r="A83" s="44"/>
      <c r="B83" s="44"/>
      <c r="C83" s="45"/>
      <c r="D83" s="44"/>
      <c r="E83" s="44"/>
      <c r="F83" s="44"/>
      <c r="G83" s="18"/>
      <c r="H83" s="18"/>
      <c r="I83" s="18"/>
      <c r="J83" s="18"/>
      <c r="K83" s="18"/>
      <c r="L83" s="18"/>
      <c r="M83" s="18"/>
      <c r="N83" s="18"/>
      <c r="O83" s="18"/>
      <c r="P83" s="18"/>
      <c r="Q83" s="18"/>
      <c r="R83" s="18"/>
      <c r="S83" s="18"/>
      <c r="T83" s="18"/>
      <c r="U83" s="18"/>
      <c r="V83" s="18"/>
      <c r="W83" s="18"/>
      <c r="X83" s="18"/>
      <c r="Y83" s="18"/>
      <c r="Z83" s="18"/>
    </row>
    <row r="84" ht="15.75" customHeight="1">
      <c r="A84" s="44"/>
      <c r="B84" s="44"/>
      <c r="C84" s="45"/>
      <c r="D84" s="44"/>
      <c r="E84" s="44"/>
      <c r="F84" s="44"/>
      <c r="G84" s="18"/>
      <c r="H84" s="18"/>
      <c r="I84" s="18"/>
      <c r="J84" s="18"/>
      <c r="K84" s="18"/>
      <c r="L84" s="18"/>
      <c r="M84" s="18"/>
      <c r="N84" s="18"/>
      <c r="O84" s="18"/>
      <c r="P84" s="18"/>
      <c r="Q84" s="18"/>
      <c r="R84" s="18"/>
      <c r="S84" s="18"/>
      <c r="T84" s="18"/>
      <c r="U84" s="18"/>
      <c r="V84" s="18"/>
      <c r="W84" s="18"/>
      <c r="X84" s="18"/>
      <c r="Y84" s="18"/>
      <c r="Z84" s="18"/>
    </row>
    <row r="85" ht="15.75" customHeight="1">
      <c r="A85" s="44"/>
      <c r="B85" s="44"/>
      <c r="C85" s="45"/>
      <c r="D85" s="44"/>
      <c r="E85" s="44"/>
      <c r="F85" s="44"/>
      <c r="G85" s="18"/>
      <c r="H85" s="18"/>
      <c r="I85" s="18"/>
      <c r="J85" s="18"/>
      <c r="K85" s="18"/>
      <c r="L85" s="18"/>
      <c r="M85" s="18"/>
      <c r="N85" s="18"/>
      <c r="O85" s="18"/>
      <c r="P85" s="18"/>
      <c r="Q85" s="18"/>
      <c r="R85" s="18"/>
      <c r="S85" s="18"/>
      <c r="T85" s="18"/>
      <c r="U85" s="18"/>
      <c r="V85" s="18"/>
      <c r="W85" s="18"/>
      <c r="X85" s="18"/>
      <c r="Y85" s="18"/>
      <c r="Z85" s="18"/>
    </row>
    <row r="86" ht="15.75" customHeight="1">
      <c r="A86" s="44"/>
      <c r="B86" s="44"/>
      <c r="C86" s="45"/>
      <c r="D86" s="44"/>
      <c r="E86" s="44"/>
      <c r="F86" s="44"/>
      <c r="G86" s="18"/>
      <c r="H86" s="18"/>
      <c r="I86" s="18"/>
      <c r="J86" s="18"/>
      <c r="K86" s="18"/>
      <c r="L86" s="18"/>
      <c r="M86" s="18"/>
      <c r="N86" s="18"/>
      <c r="O86" s="18"/>
      <c r="P86" s="18"/>
      <c r="Q86" s="18"/>
      <c r="R86" s="18"/>
      <c r="S86" s="18"/>
      <c r="T86" s="18"/>
      <c r="U86" s="18"/>
      <c r="V86" s="18"/>
      <c r="W86" s="18"/>
      <c r="X86" s="18"/>
      <c r="Y86" s="18"/>
      <c r="Z86" s="18"/>
    </row>
    <row r="87" ht="15.75" customHeight="1">
      <c r="A87" s="44"/>
      <c r="B87" s="44"/>
      <c r="C87" s="45"/>
      <c r="D87" s="44"/>
      <c r="E87" s="44"/>
      <c r="F87" s="44"/>
      <c r="G87" s="18"/>
      <c r="H87" s="18"/>
      <c r="I87" s="18"/>
      <c r="J87" s="18"/>
      <c r="K87" s="18"/>
      <c r="L87" s="18"/>
      <c r="M87" s="18"/>
      <c r="N87" s="18"/>
      <c r="O87" s="18"/>
      <c r="P87" s="18"/>
      <c r="Q87" s="18"/>
      <c r="R87" s="18"/>
      <c r="S87" s="18"/>
      <c r="T87" s="18"/>
      <c r="U87" s="18"/>
      <c r="V87" s="18"/>
      <c r="W87" s="18"/>
      <c r="X87" s="18"/>
      <c r="Y87" s="18"/>
      <c r="Z87" s="18"/>
    </row>
    <row r="88" ht="15.75" customHeight="1">
      <c r="A88" s="44"/>
      <c r="B88" s="44"/>
      <c r="C88" s="45"/>
      <c r="D88" s="44"/>
      <c r="E88" s="44"/>
      <c r="F88" s="44"/>
      <c r="G88" s="18"/>
      <c r="H88" s="18"/>
      <c r="I88" s="18"/>
      <c r="J88" s="18"/>
      <c r="K88" s="18"/>
      <c r="L88" s="18"/>
      <c r="M88" s="18"/>
      <c r="N88" s="18"/>
      <c r="O88" s="18"/>
      <c r="P88" s="18"/>
      <c r="Q88" s="18"/>
      <c r="R88" s="18"/>
      <c r="S88" s="18"/>
      <c r="T88" s="18"/>
      <c r="U88" s="18"/>
      <c r="V88" s="18"/>
      <c r="W88" s="18"/>
      <c r="X88" s="18"/>
      <c r="Y88" s="18"/>
      <c r="Z88" s="18"/>
    </row>
    <row r="89" ht="15.75" customHeight="1">
      <c r="A89" s="44"/>
      <c r="B89" s="44"/>
      <c r="C89" s="45"/>
      <c r="D89" s="44"/>
      <c r="E89" s="44"/>
      <c r="F89" s="44"/>
      <c r="G89" s="18"/>
      <c r="H89" s="18"/>
      <c r="I89" s="18"/>
      <c r="J89" s="18"/>
      <c r="K89" s="18"/>
      <c r="L89" s="18"/>
      <c r="M89" s="18"/>
      <c r="N89" s="18"/>
      <c r="O89" s="18"/>
      <c r="P89" s="18"/>
      <c r="Q89" s="18"/>
      <c r="R89" s="18"/>
      <c r="S89" s="18"/>
      <c r="T89" s="18"/>
      <c r="U89" s="18"/>
      <c r="V89" s="18"/>
      <c r="W89" s="18"/>
      <c r="X89" s="18"/>
      <c r="Y89" s="18"/>
      <c r="Z89" s="18"/>
    </row>
    <row r="90" ht="15.75" customHeight="1">
      <c r="A90" s="44"/>
      <c r="B90" s="44"/>
      <c r="C90" s="45"/>
      <c r="D90" s="44"/>
      <c r="E90" s="44"/>
      <c r="F90" s="44"/>
      <c r="G90" s="18"/>
      <c r="H90" s="18"/>
      <c r="I90" s="18"/>
      <c r="J90" s="18"/>
      <c r="K90" s="18"/>
      <c r="L90" s="18"/>
      <c r="M90" s="18"/>
      <c r="N90" s="18"/>
      <c r="O90" s="18"/>
      <c r="P90" s="18"/>
      <c r="Q90" s="18"/>
      <c r="R90" s="18"/>
      <c r="S90" s="18"/>
      <c r="T90" s="18"/>
      <c r="U90" s="18"/>
      <c r="V90" s="18"/>
      <c r="W90" s="18"/>
      <c r="X90" s="18"/>
      <c r="Y90" s="18"/>
      <c r="Z90" s="18"/>
    </row>
    <row r="91" ht="15.75" customHeight="1">
      <c r="A91" s="44"/>
      <c r="B91" s="44"/>
      <c r="C91" s="45"/>
      <c r="D91" s="44"/>
      <c r="E91" s="44"/>
      <c r="F91" s="44"/>
      <c r="G91" s="18"/>
      <c r="H91" s="18"/>
      <c r="I91" s="18"/>
      <c r="J91" s="18"/>
      <c r="K91" s="18"/>
      <c r="L91" s="18"/>
      <c r="M91" s="18"/>
      <c r="N91" s="18"/>
      <c r="O91" s="18"/>
      <c r="P91" s="18"/>
      <c r="Q91" s="18"/>
      <c r="R91" s="18"/>
      <c r="S91" s="18"/>
      <c r="T91" s="18"/>
      <c r="U91" s="18"/>
      <c r="V91" s="18"/>
      <c r="W91" s="18"/>
      <c r="X91" s="18"/>
      <c r="Y91" s="18"/>
      <c r="Z91" s="18"/>
    </row>
    <row r="92" ht="15.75" customHeight="1">
      <c r="A92" s="44"/>
      <c r="B92" s="44"/>
      <c r="C92" s="45"/>
      <c r="D92" s="44"/>
      <c r="E92" s="44"/>
      <c r="F92" s="44"/>
      <c r="G92" s="18"/>
      <c r="H92" s="18"/>
      <c r="I92" s="18"/>
      <c r="J92" s="18"/>
      <c r="K92" s="18"/>
      <c r="L92" s="18"/>
      <c r="M92" s="18"/>
      <c r="N92" s="18"/>
      <c r="O92" s="18"/>
      <c r="P92" s="18"/>
      <c r="Q92" s="18"/>
      <c r="R92" s="18"/>
      <c r="S92" s="18"/>
      <c r="T92" s="18"/>
      <c r="U92" s="18"/>
      <c r="V92" s="18"/>
      <c r="W92" s="18"/>
      <c r="X92" s="18"/>
      <c r="Y92" s="18"/>
      <c r="Z92" s="18"/>
    </row>
    <row r="93" ht="15.75" customHeight="1">
      <c r="A93" s="44"/>
      <c r="B93" s="44"/>
      <c r="C93" s="45"/>
      <c r="D93" s="44"/>
      <c r="E93" s="44"/>
      <c r="F93" s="44"/>
      <c r="G93" s="18"/>
      <c r="H93" s="18"/>
      <c r="I93" s="18"/>
      <c r="J93" s="18"/>
      <c r="K93" s="18"/>
      <c r="L93" s="18"/>
      <c r="M93" s="18"/>
      <c r="N93" s="18"/>
      <c r="O93" s="18"/>
      <c r="P93" s="18"/>
      <c r="Q93" s="18"/>
      <c r="R93" s="18"/>
      <c r="S93" s="18"/>
      <c r="T93" s="18"/>
      <c r="U93" s="18"/>
      <c r="V93" s="18"/>
      <c r="W93" s="18"/>
      <c r="X93" s="18"/>
      <c r="Y93" s="18"/>
      <c r="Z93" s="18"/>
    </row>
    <row r="94" ht="15.75" customHeight="1">
      <c r="A94" s="44"/>
      <c r="B94" s="44"/>
      <c r="C94" s="45"/>
      <c r="D94" s="44"/>
      <c r="E94" s="44"/>
      <c r="F94" s="44"/>
      <c r="G94" s="18"/>
      <c r="H94" s="18"/>
      <c r="I94" s="18"/>
      <c r="J94" s="18"/>
      <c r="K94" s="18"/>
      <c r="L94" s="18"/>
      <c r="M94" s="18"/>
      <c r="N94" s="18"/>
      <c r="O94" s="18"/>
      <c r="P94" s="18"/>
      <c r="Q94" s="18"/>
      <c r="R94" s="18"/>
      <c r="S94" s="18"/>
      <c r="T94" s="18"/>
      <c r="U94" s="18"/>
      <c r="V94" s="18"/>
      <c r="W94" s="18"/>
      <c r="X94" s="18"/>
      <c r="Y94" s="18"/>
      <c r="Z94" s="18"/>
    </row>
    <row r="95" ht="15.75" customHeight="1">
      <c r="A95" s="44"/>
      <c r="B95" s="44"/>
      <c r="C95" s="45"/>
      <c r="D95" s="44"/>
      <c r="E95" s="44"/>
      <c r="F95" s="44"/>
      <c r="G95" s="18"/>
      <c r="H95" s="18"/>
      <c r="I95" s="18"/>
      <c r="J95" s="18"/>
      <c r="K95" s="18"/>
      <c r="L95" s="18"/>
      <c r="M95" s="18"/>
      <c r="N95" s="18"/>
      <c r="O95" s="18"/>
      <c r="P95" s="18"/>
      <c r="Q95" s="18"/>
      <c r="R95" s="18"/>
      <c r="S95" s="18"/>
      <c r="T95" s="18"/>
      <c r="U95" s="18"/>
      <c r="V95" s="18"/>
      <c r="W95" s="18"/>
      <c r="X95" s="18"/>
      <c r="Y95" s="18"/>
      <c r="Z95" s="18"/>
    </row>
    <row r="96" ht="15.75" customHeight="1">
      <c r="A96" s="44"/>
      <c r="B96" s="44"/>
      <c r="C96" s="45"/>
      <c r="D96" s="44"/>
      <c r="E96" s="44"/>
      <c r="F96" s="44"/>
      <c r="G96" s="18"/>
      <c r="H96" s="18"/>
      <c r="I96" s="18"/>
      <c r="J96" s="18"/>
      <c r="K96" s="18"/>
      <c r="L96" s="18"/>
      <c r="M96" s="18"/>
      <c r="N96" s="18"/>
      <c r="O96" s="18"/>
      <c r="P96" s="18"/>
      <c r="Q96" s="18"/>
      <c r="R96" s="18"/>
      <c r="S96" s="18"/>
      <c r="T96" s="18"/>
      <c r="U96" s="18"/>
      <c r="V96" s="18"/>
      <c r="W96" s="18"/>
      <c r="X96" s="18"/>
      <c r="Y96" s="18"/>
      <c r="Z96" s="18"/>
    </row>
    <row r="97" ht="15.75" customHeight="1">
      <c r="A97" s="44"/>
      <c r="B97" s="44"/>
      <c r="C97" s="45"/>
      <c r="D97" s="44"/>
      <c r="E97" s="44"/>
      <c r="F97" s="44"/>
      <c r="G97" s="18"/>
      <c r="H97" s="18"/>
      <c r="I97" s="18"/>
      <c r="J97" s="18"/>
      <c r="K97" s="18"/>
      <c r="L97" s="18"/>
      <c r="M97" s="18"/>
      <c r="N97" s="18"/>
      <c r="O97" s="18"/>
      <c r="P97" s="18"/>
      <c r="Q97" s="18"/>
      <c r="R97" s="18"/>
      <c r="S97" s="18"/>
      <c r="T97" s="18"/>
      <c r="U97" s="18"/>
      <c r="V97" s="18"/>
      <c r="W97" s="18"/>
      <c r="X97" s="18"/>
      <c r="Y97" s="18"/>
      <c r="Z97" s="18"/>
    </row>
    <row r="98" ht="15.75" customHeight="1">
      <c r="A98" s="44"/>
      <c r="B98" s="44"/>
      <c r="C98" s="45"/>
      <c r="D98" s="44"/>
      <c r="E98" s="44"/>
      <c r="F98" s="44"/>
      <c r="G98" s="18"/>
      <c r="H98" s="18"/>
      <c r="I98" s="18"/>
      <c r="J98" s="18"/>
      <c r="K98" s="18"/>
      <c r="L98" s="18"/>
      <c r="M98" s="18"/>
      <c r="N98" s="18"/>
      <c r="O98" s="18"/>
      <c r="P98" s="18"/>
      <c r="Q98" s="18"/>
      <c r="R98" s="18"/>
      <c r="S98" s="18"/>
      <c r="T98" s="18"/>
      <c r="U98" s="18"/>
      <c r="V98" s="18"/>
      <c r="W98" s="18"/>
      <c r="X98" s="18"/>
      <c r="Y98" s="18"/>
      <c r="Z98" s="18"/>
    </row>
    <row r="99" ht="15.75" customHeight="1">
      <c r="A99" s="44"/>
      <c r="B99" s="44"/>
      <c r="C99" s="45"/>
      <c r="D99" s="44"/>
      <c r="E99" s="44"/>
      <c r="F99" s="44"/>
      <c r="G99" s="18"/>
      <c r="H99" s="18"/>
      <c r="I99" s="18"/>
      <c r="J99" s="18"/>
      <c r="K99" s="18"/>
      <c r="L99" s="18"/>
      <c r="M99" s="18"/>
      <c r="N99" s="18"/>
      <c r="O99" s="18"/>
      <c r="P99" s="18"/>
      <c r="Q99" s="18"/>
      <c r="R99" s="18"/>
      <c r="S99" s="18"/>
      <c r="T99" s="18"/>
      <c r="U99" s="18"/>
      <c r="V99" s="18"/>
      <c r="W99" s="18"/>
      <c r="X99" s="18"/>
      <c r="Y99" s="18"/>
      <c r="Z99" s="18"/>
    </row>
    <row r="100" ht="15.75" customHeight="1">
      <c r="A100" s="44"/>
      <c r="B100" s="44"/>
      <c r="C100" s="45"/>
      <c r="D100" s="44"/>
      <c r="E100" s="44"/>
      <c r="F100" s="44"/>
      <c r="G100" s="18"/>
      <c r="H100" s="18"/>
      <c r="I100" s="18"/>
      <c r="J100" s="18"/>
      <c r="K100" s="18"/>
      <c r="L100" s="18"/>
      <c r="M100" s="18"/>
      <c r="N100" s="18"/>
      <c r="O100" s="18"/>
      <c r="P100" s="18"/>
      <c r="Q100" s="18"/>
      <c r="R100" s="18"/>
      <c r="S100" s="18"/>
      <c r="T100" s="18"/>
      <c r="U100" s="18"/>
      <c r="V100" s="18"/>
      <c r="W100" s="18"/>
      <c r="X100" s="18"/>
      <c r="Y100" s="18"/>
      <c r="Z100" s="18"/>
    </row>
    <row r="101" ht="15.75" customHeight="1">
      <c r="A101" s="44"/>
      <c r="B101" s="44"/>
      <c r="C101" s="45"/>
      <c r="D101" s="44"/>
      <c r="E101" s="44"/>
      <c r="F101" s="44"/>
      <c r="G101" s="18"/>
      <c r="H101" s="18"/>
      <c r="I101" s="18"/>
      <c r="J101" s="18"/>
      <c r="K101" s="18"/>
      <c r="L101" s="18"/>
      <c r="M101" s="18"/>
      <c r="N101" s="18"/>
      <c r="O101" s="18"/>
      <c r="P101" s="18"/>
      <c r="Q101" s="18"/>
      <c r="R101" s="18"/>
      <c r="S101" s="18"/>
      <c r="T101" s="18"/>
      <c r="U101" s="18"/>
      <c r="V101" s="18"/>
      <c r="W101" s="18"/>
      <c r="X101" s="18"/>
      <c r="Y101" s="18"/>
      <c r="Z101" s="18"/>
    </row>
    <row r="102" ht="15.75" customHeight="1">
      <c r="A102" s="44"/>
      <c r="B102" s="44"/>
      <c r="C102" s="45"/>
      <c r="D102" s="44"/>
      <c r="E102" s="44"/>
      <c r="F102" s="44"/>
      <c r="G102" s="18"/>
      <c r="H102" s="18"/>
      <c r="I102" s="18"/>
      <c r="J102" s="18"/>
      <c r="K102" s="18"/>
      <c r="L102" s="18"/>
      <c r="M102" s="18"/>
      <c r="N102" s="18"/>
      <c r="O102" s="18"/>
      <c r="P102" s="18"/>
      <c r="Q102" s="18"/>
      <c r="R102" s="18"/>
      <c r="S102" s="18"/>
      <c r="T102" s="18"/>
      <c r="U102" s="18"/>
      <c r="V102" s="18"/>
      <c r="W102" s="18"/>
      <c r="X102" s="18"/>
      <c r="Y102" s="18"/>
      <c r="Z102" s="18"/>
    </row>
    <row r="103" ht="15.75" customHeight="1">
      <c r="A103" s="44"/>
      <c r="B103" s="44"/>
      <c r="C103" s="45"/>
      <c r="D103" s="44"/>
      <c r="E103" s="44"/>
      <c r="F103" s="44"/>
      <c r="G103" s="18"/>
      <c r="H103" s="18"/>
      <c r="I103" s="18"/>
      <c r="J103" s="18"/>
      <c r="K103" s="18"/>
      <c r="L103" s="18"/>
      <c r="M103" s="18"/>
      <c r="N103" s="18"/>
      <c r="O103" s="18"/>
      <c r="P103" s="18"/>
      <c r="Q103" s="18"/>
      <c r="R103" s="18"/>
      <c r="S103" s="18"/>
      <c r="T103" s="18"/>
      <c r="U103" s="18"/>
      <c r="V103" s="18"/>
      <c r="W103" s="18"/>
      <c r="X103" s="18"/>
      <c r="Y103" s="18"/>
      <c r="Z103" s="18"/>
    </row>
    <row r="104" ht="15.75" customHeight="1">
      <c r="A104" s="44"/>
      <c r="B104" s="44"/>
      <c r="C104" s="45"/>
      <c r="D104" s="44"/>
      <c r="E104" s="44"/>
      <c r="F104" s="44"/>
      <c r="G104" s="18"/>
      <c r="H104" s="18"/>
      <c r="I104" s="18"/>
      <c r="J104" s="18"/>
      <c r="K104" s="18"/>
      <c r="L104" s="18"/>
      <c r="M104" s="18"/>
      <c r="N104" s="18"/>
      <c r="O104" s="18"/>
      <c r="P104" s="18"/>
      <c r="Q104" s="18"/>
      <c r="R104" s="18"/>
      <c r="S104" s="18"/>
      <c r="T104" s="18"/>
      <c r="U104" s="18"/>
      <c r="V104" s="18"/>
      <c r="W104" s="18"/>
      <c r="X104" s="18"/>
      <c r="Y104" s="18"/>
      <c r="Z104" s="18"/>
    </row>
    <row r="105" ht="15.75" customHeight="1">
      <c r="A105" s="44"/>
      <c r="B105" s="44"/>
      <c r="C105" s="45"/>
      <c r="D105" s="44"/>
      <c r="E105" s="44"/>
      <c r="F105" s="44"/>
      <c r="G105" s="18"/>
      <c r="H105" s="18"/>
      <c r="I105" s="18"/>
      <c r="J105" s="18"/>
      <c r="K105" s="18"/>
      <c r="L105" s="18"/>
      <c r="M105" s="18"/>
      <c r="N105" s="18"/>
      <c r="O105" s="18"/>
      <c r="P105" s="18"/>
      <c r="Q105" s="18"/>
      <c r="R105" s="18"/>
      <c r="S105" s="18"/>
      <c r="T105" s="18"/>
      <c r="U105" s="18"/>
      <c r="V105" s="18"/>
      <c r="W105" s="18"/>
      <c r="X105" s="18"/>
      <c r="Y105" s="18"/>
      <c r="Z105" s="18"/>
    </row>
    <row r="106" ht="15.75" customHeight="1">
      <c r="A106" s="44"/>
      <c r="B106" s="44"/>
      <c r="C106" s="45"/>
      <c r="D106" s="44"/>
      <c r="E106" s="44"/>
      <c r="F106" s="44"/>
      <c r="G106" s="18"/>
      <c r="H106" s="18"/>
      <c r="I106" s="18"/>
      <c r="J106" s="18"/>
      <c r="K106" s="18"/>
      <c r="L106" s="18"/>
      <c r="M106" s="18"/>
      <c r="N106" s="18"/>
      <c r="O106" s="18"/>
      <c r="P106" s="18"/>
      <c r="Q106" s="18"/>
      <c r="R106" s="18"/>
      <c r="S106" s="18"/>
      <c r="T106" s="18"/>
      <c r="U106" s="18"/>
      <c r="V106" s="18"/>
      <c r="W106" s="18"/>
      <c r="X106" s="18"/>
      <c r="Y106" s="18"/>
      <c r="Z106" s="18"/>
    </row>
    <row r="107" ht="15.75" customHeight="1">
      <c r="A107" s="44"/>
      <c r="B107" s="44"/>
      <c r="C107" s="45"/>
      <c r="D107" s="44"/>
      <c r="E107" s="44"/>
      <c r="F107" s="44"/>
      <c r="G107" s="18"/>
      <c r="H107" s="18"/>
      <c r="I107" s="18"/>
      <c r="J107" s="18"/>
      <c r="K107" s="18"/>
      <c r="L107" s="18"/>
      <c r="M107" s="18"/>
      <c r="N107" s="18"/>
      <c r="O107" s="18"/>
      <c r="P107" s="18"/>
      <c r="Q107" s="18"/>
      <c r="R107" s="18"/>
      <c r="S107" s="18"/>
      <c r="T107" s="18"/>
      <c r="U107" s="18"/>
      <c r="V107" s="18"/>
      <c r="W107" s="18"/>
      <c r="X107" s="18"/>
      <c r="Y107" s="18"/>
      <c r="Z107" s="18"/>
    </row>
    <row r="108" ht="15.75" customHeight="1">
      <c r="A108" s="44"/>
      <c r="B108" s="44"/>
      <c r="C108" s="45"/>
      <c r="D108" s="44"/>
      <c r="E108" s="44"/>
      <c r="F108" s="44"/>
      <c r="G108" s="18"/>
      <c r="H108" s="18"/>
      <c r="I108" s="18"/>
      <c r="J108" s="18"/>
      <c r="K108" s="18"/>
      <c r="L108" s="18"/>
      <c r="M108" s="18"/>
      <c r="N108" s="18"/>
      <c r="O108" s="18"/>
      <c r="P108" s="18"/>
      <c r="Q108" s="18"/>
      <c r="R108" s="18"/>
      <c r="S108" s="18"/>
      <c r="T108" s="18"/>
      <c r="U108" s="18"/>
      <c r="V108" s="18"/>
      <c r="W108" s="18"/>
      <c r="X108" s="18"/>
      <c r="Y108" s="18"/>
      <c r="Z108" s="18"/>
    </row>
    <row r="109" ht="15.75" customHeight="1">
      <c r="A109" s="44"/>
      <c r="B109" s="44"/>
      <c r="C109" s="45"/>
      <c r="D109" s="44"/>
      <c r="E109" s="44"/>
      <c r="F109" s="44"/>
      <c r="G109" s="18"/>
      <c r="H109" s="18"/>
      <c r="I109" s="18"/>
      <c r="J109" s="18"/>
      <c r="K109" s="18"/>
      <c r="L109" s="18"/>
      <c r="M109" s="18"/>
      <c r="N109" s="18"/>
      <c r="O109" s="18"/>
      <c r="P109" s="18"/>
      <c r="Q109" s="18"/>
      <c r="R109" s="18"/>
      <c r="S109" s="18"/>
      <c r="T109" s="18"/>
      <c r="U109" s="18"/>
      <c r="V109" s="18"/>
      <c r="W109" s="18"/>
      <c r="X109" s="18"/>
      <c r="Y109" s="18"/>
      <c r="Z109" s="18"/>
    </row>
    <row r="110" ht="15.75" customHeight="1">
      <c r="A110" s="44"/>
      <c r="B110" s="44"/>
      <c r="C110" s="45"/>
      <c r="D110" s="44"/>
      <c r="E110" s="44"/>
      <c r="F110" s="44"/>
      <c r="G110" s="18"/>
      <c r="H110" s="18"/>
      <c r="I110" s="18"/>
      <c r="J110" s="18"/>
      <c r="K110" s="18"/>
      <c r="L110" s="18"/>
      <c r="M110" s="18"/>
      <c r="N110" s="18"/>
      <c r="O110" s="18"/>
      <c r="P110" s="18"/>
      <c r="Q110" s="18"/>
      <c r="R110" s="18"/>
      <c r="S110" s="18"/>
      <c r="T110" s="18"/>
      <c r="U110" s="18"/>
      <c r="V110" s="18"/>
      <c r="W110" s="18"/>
      <c r="X110" s="18"/>
      <c r="Y110" s="18"/>
      <c r="Z110" s="18"/>
    </row>
    <row r="111" ht="15.75" customHeight="1">
      <c r="A111" s="44"/>
      <c r="B111" s="44"/>
      <c r="C111" s="45"/>
      <c r="D111" s="44"/>
      <c r="E111" s="44"/>
      <c r="F111" s="44"/>
      <c r="G111" s="18"/>
      <c r="H111" s="18"/>
      <c r="I111" s="18"/>
      <c r="J111" s="18"/>
      <c r="K111" s="18"/>
      <c r="L111" s="18"/>
      <c r="M111" s="18"/>
      <c r="N111" s="18"/>
      <c r="O111" s="18"/>
      <c r="P111" s="18"/>
      <c r="Q111" s="18"/>
      <c r="R111" s="18"/>
      <c r="S111" s="18"/>
      <c r="T111" s="18"/>
      <c r="U111" s="18"/>
      <c r="V111" s="18"/>
      <c r="W111" s="18"/>
      <c r="X111" s="18"/>
      <c r="Y111" s="18"/>
      <c r="Z111" s="18"/>
    </row>
    <row r="112" ht="15.75" customHeight="1">
      <c r="A112" s="44"/>
      <c r="B112" s="44"/>
      <c r="C112" s="45"/>
      <c r="D112" s="44"/>
      <c r="E112" s="44"/>
      <c r="F112" s="44"/>
      <c r="G112" s="18"/>
      <c r="H112" s="18"/>
      <c r="I112" s="18"/>
      <c r="J112" s="18"/>
      <c r="K112" s="18"/>
      <c r="L112" s="18"/>
      <c r="M112" s="18"/>
      <c r="N112" s="18"/>
      <c r="O112" s="18"/>
      <c r="P112" s="18"/>
      <c r="Q112" s="18"/>
      <c r="R112" s="18"/>
      <c r="S112" s="18"/>
      <c r="T112" s="18"/>
      <c r="U112" s="18"/>
      <c r="V112" s="18"/>
      <c r="W112" s="18"/>
      <c r="X112" s="18"/>
      <c r="Y112" s="18"/>
      <c r="Z112" s="18"/>
    </row>
    <row r="113" ht="15.75" customHeight="1">
      <c r="A113" s="44"/>
      <c r="B113" s="44"/>
      <c r="C113" s="45"/>
      <c r="D113" s="44"/>
      <c r="E113" s="44"/>
      <c r="F113" s="44"/>
      <c r="G113" s="18"/>
      <c r="H113" s="18"/>
      <c r="I113" s="18"/>
      <c r="J113" s="18"/>
      <c r="K113" s="18"/>
      <c r="L113" s="18"/>
      <c r="M113" s="18"/>
      <c r="N113" s="18"/>
      <c r="O113" s="18"/>
      <c r="P113" s="18"/>
      <c r="Q113" s="18"/>
      <c r="R113" s="18"/>
      <c r="S113" s="18"/>
      <c r="T113" s="18"/>
      <c r="U113" s="18"/>
      <c r="V113" s="18"/>
      <c r="W113" s="18"/>
      <c r="X113" s="18"/>
      <c r="Y113" s="18"/>
      <c r="Z113" s="18"/>
    </row>
    <row r="114" ht="15.75" customHeight="1">
      <c r="A114" s="44"/>
      <c r="B114" s="44"/>
      <c r="C114" s="45"/>
      <c r="D114" s="44"/>
      <c r="E114" s="44"/>
      <c r="F114" s="44"/>
      <c r="G114" s="18"/>
      <c r="H114" s="18"/>
      <c r="I114" s="18"/>
      <c r="J114" s="18"/>
      <c r="K114" s="18"/>
      <c r="L114" s="18"/>
      <c r="M114" s="18"/>
      <c r="N114" s="18"/>
      <c r="O114" s="18"/>
      <c r="P114" s="18"/>
      <c r="Q114" s="18"/>
      <c r="R114" s="18"/>
      <c r="S114" s="18"/>
      <c r="T114" s="18"/>
      <c r="U114" s="18"/>
      <c r="V114" s="18"/>
      <c r="W114" s="18"/>
      <c r="X114" s="18"/>
      <c r="Y114" s="18"/>
      <c r="Z114" s="18"/>
    </row>
    <row r="115" ht="15.75" customHeight="1">
      <c r="A115" s="44"/>
      <c r="B115" s="44"/>
      <c r="C115" s="45"/>
      <c r="D115" s="44"/>
      <c r="E115" s="44"/>
      <c r="F115" s="44"/>
      <c r="G115" s="18"/>
      <c r="H115" s="18"/>
      <c r="I115" s="18"/>
      <c r="J115" s="18"/>
      <c r="K115" s="18"/>
      <c r="L115" s="18"/>
      <c r="M115" s="18"/>
      <c r="N115" s="18"/>
      <c r="O115" s="18"/>
      <c r="P115" s="18"/>
      <c r="Q115" s="18"/>
      <c r="R115" s="18"/>
      <c r="S115" s="18"/>
      <c r="T115" s="18"/>
      <c r="U115" s="18"/>
      <c r="V115" s="18"/>
      <c r="W115" s="18"/>
      <c r="X115" s="18"/>
      <c r="Y115" s="18"/>
      <c r="Z115" s="18"/>
    </row>
    <row r="116" ht="15.75" customHeight="1">
      <c r="A116" s="44"/>
      <c r="B116" s="44"/>
      <c r="C116" s="45"/>
      <c r="D116" s="44"/>
      <c r="E116" s="44"/>
      <c r="F116" s="44"/>
      <c r="G116" s="18"/>
      <c r="H116" s="18"/>
      <c r="I116" s="18"/>
      <c r="J116" s="18"/>
      <c r="K116" s="18"/>
      <c r="L116" s="18"/>
      <c r="M116" s="18"/>
      <c r="N116" s="18"/>
      <c r="O116" s="18"/>
      <c r="P116" s="18"/>
      <c r="Q116" s="18"/>
      <c r="R116" s="18"/>
      <c r="S116" s="18"/>
      <c r="T116" s="18"/>
      <c r="U116" s="18"/>
      <c r="V116" s="18"/>
      <c r="W116" s="18"/>
      <c r="X116" s="18"/>
      <c r="Y116" s="18"/>
      <c r="Z116" s="18"/>
    </row>
    <row r="117" ht="15.75" customHeight="1">
      <c r="A117" s="44"/>
      <c r="B117" s="44"/>
      <c r="C117" s="45"/>
      <c r="D117" s="44"/>
      <c r="E117" s="44"/>
      <c r="F117" s="44"/>
      <c r="G117" s="18"/>
      <c r="H117" s="18"/>
      <c r="I117" s="18"/>
      <c r="J117" s="18"/>
      <c r="K117" s="18"/>
      <c r="L117" s="18"/>
      <c r="M117" s="18"/>
      <c r="N117" s="18"/>
      <c r="O117" s="18"/>
      <c r="P117" s="18"/>
      <c r="Q117" s="18"/>
      <c r="R117" s="18"/>
      <c r="S117" s="18"/>
      <c r="T117" s="18"/>
      <c r="U117" s="18"/>
      <c r="V117" s="18"/>
      <c r="W117" s="18"/>
      <c r="X117" s="18"/>
      <c r="Y117" s="18"/>
      <c r="Z117" s="18"/>
    </row>
    <row r="118" ht="15.75" customHeight="1">
      <c r="A118" s="44"/>
      <c r="B118" s="44"/>
      <c r="C118" s="45"/>
      <c r="D118" s="44"/>
      <c r="E118" s="44"/>
      <c r="F118" s="44"/>
      <c r="G118" s="18"/>
      <c r="H118" s="18"/>
      <c r="I118" s="18"/>
      <c r="J118" s="18"/>
      <c r="K118" s="18"/>
      <c r="L118" s="18"/>
      <c r="M118" s="18"/>
      <c r="N118" s="18"/>
      <c r="O118" s="18"/>
      <c r="P118" s="18"/>
      <c r="Q118" s="18"/>
      <c r="R118" s="18"/>
      <c r="S118" s="18"/>
      <c r="T118" s="18"/>
      <c r="U118" s="18"/>
      <c r="V118" s="18"/>
      <c r="W118" s="18"/>
      <c r="X118" s="18"/>
      <c r="Y118" s="18"/>
      <c r="Z118" s="18"/>
    </row>
    <row r="119" ht="15.75" customHeight="1">
      <c r="A119" s="44"/>
      <c r="B119" s="44"/>
      <c r="C119" s="45"/>
      <c r="D119" s="44"/>
      <c r="E119" s="44"/>
      <c r="F119" s="44"/>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44"/>
      <c r="B120" s="44"/>
      <c r="C120" s="45"/>
      <c r="D120" s="44"/>
      <c r="E120" s="44"/>
      <c r="F120" s="44"/>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44"/>
      <c r="B121" s="44"/>
      <c r="C121" s="45"/>
      <c r="D121" s="44"/>
      <c r="E121" s="44"/>
      <c r="F121" s="44"/>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44"/>
      <c r="B122" s="44"/>
      <c r="C122" s="45"/>
      <c r="D122" s="44"/>
      <c r="E122" s="44"/>
      <c r="F122" s="44"/>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44"/>
      <c r="B123" s="44"/>
      <c r="C123" s="45"/>
      <c r="D123" s="44"/>
      <c r="E123" s="44"/>
      <c r="F123" s="44"/>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44"/>
      <c r="B124" s="44"/>
      <c r="C124" s="45"/>
      <c r="D124" s="44"/>
      <c r="E124" s="44"/>
      <c r="F124" s="44"/>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44"/>
      <c r="B125" s="44"/>
      <c r="C125" s="45"/>
      <c r="D125" s="44"/>
      <c r="E125" s="44"/>
      <c r="F125" s="44"/>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44"/>
      <c r="B126" s="44"/>
      <c r="C126" s="45"/>
      <c r="D126" s="44"/>
      <c r="E126" s="44"/>
      <c r="F126" s="44"/>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44"/>
      <c r="B127" s="44"/>
      <c r="C127" s="45"/>
      <c r="D127" s="44"/>
      <c r="E127" s="44"/>
      <c r="F127" s="44"/>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44"/>
      <c r="B128" s="44"/>
      <c r="C128" s="45"/>
      <c r="D128" s="44"/>
      <c r="E128" s="44"/>
      <c r="F128" s="44"/>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44"/>
      <c r="B129" s="44"/>
      <c r="C129" s="45"/>
      <c r="D129" s="44"/>
      <c r="E129" s="44"/>
      <c r="F129" s="44"/>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44"/>
      <c r="B130" s="44"/>
      <c r="C130" s="45"/>
      <c r="D130" s="44"/>
      <c r="E130" s="44"/>
      <c r="F130" s="44"/>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44"/>
      <c r="B131" s="44"/>
      <c r="C131" s="45"/>
      <c r="D131" s="44"/>
      <c r="E131" s="44"/>
      <c r="F131" s="44"/>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44"/>
      <c r="B132" s="44"/>
      <c r="C132" s="45"/>
      <c r="D132" s="44"/>
      <c r="E132" s="44"/>
      <c r="F132" s="44"/>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44"/>
      <c r="B133" s="44"/>
      <c r="C133" s="45"/>
      <c r="D133" s="44"/>
      <c r="E133" s="44"/>
      <c r="F133" s="44"/>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44"/>
      <c r="B134" s="44"/>
      <c r="C134" s="45"/>
      <c r="D134" s="44"/>
      <c r="E134" s="44"/>
      <c r="F134" s="44"/>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44"/>
      <c r="B135" s="44"/>
      <c r="C135" s="45"/>
      <c r="D135" s="44"/>
      <c r="E135" s="44"/>
      <c r="F135" s="44"/>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44"/>
      <c r="B136" s="44"/>
      <c r="C136" s="45"/>
      <c r="D136" s="44"/>
      <c r="E136" s="44"/>
      <c r="F136" s="44"/>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44"/>
      <c r="B137" s="44"/>
      <c r="C137" s="45"/>
      <c r="D137" s="44"/>
      <c r="E137" s="44"/>
      <c r="F137" s="44"/>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44"/>
      <c r="B138" s="44"/>
      <c r="C138" s="45"/>
      <c r="D138" s="44"/>
      <c r="E138" s="44"/>
      <c r="F138" s="44"/>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44"/>
      <c r="B139" s="44"/>
      <c r="C139" s="45"/>
      <c r="D139" s="44"/>
      <c r="E139" s="44"/>
      <c r="F139" s="44"/>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44"/>
      <c r="B140" s="44"/>
      <c r="C140" s="45"/>
      <c r="D140" s="44"/>
      <c r="E140" s="44"/>
      <c r="F140" s="44"/>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44"/>
      <c r="B141" s="44"/>
      <c r="C141" s="45"/>
      <c r="D141" s="44"/>
      <c r="E141" s="44"/>
      <c r="F141" s="44"/>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44"/>
      <c r="B142" s="44"/>
      <c r="C142" s="45"/>
      <c r="D142" s="44"/>
      <c r="E142" s="44"/>
      <c r="F142" s="44"/>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44"/>
      <c r="B143" s="44"/>
      <c r="C143" s="45"/>
      <c r="D143" s="44"/>
      <c r="E143" s="44"/>
      <c r="F143" s="44"/>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44"/>
      <c r="B144" s="44"/>
      <c r="C144" s="45"/>
      <c r="D144" s="44"/>
      <c r="E144" s="44"/>
      <c r="F144" s="44"/>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44"/>
      <c r="B145" s="44"/>
      <c r="C145" s="45"/>
      <c r="D145" s="44"/>
      <c r="E145" s="44"/>
      <c r="F145" s="44"/>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44"/>
      <c r="B146" s="44"/>
      <c r="C146" s="45"/>
      <c r="D146" s="44"/>
      <c r="E146" s="44"/>
      <c r="F146" s="44"/>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44"/>
      <c r="B147" s="44"/>
      <c r="C147" s="45"/>
      <c r="D147" s="44"/>
      <c r="E147" s="44"/>
      <c r="F147" s="44"/>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44"/>
      <c r="B148" s="44"/>
      <c r="C148" s="45"/>
      <c r="D148" s="44"/>
      <c r="E148" s="44"/>
      <c r="F148" s="44"/>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44"/>
      <c r="B149" s="44"/>
      <c r="C149" s="45"/>
      <c r="D149" s="44"/>
      <c r="E149" s="44"/>
      <c r="F149" s="44"/>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44"/>
      <c r="B150" s="44"/>
      <c r="C150" s="45"/>
      <c r="D150" s="44"/>
      <c r="E150" s="44"/>
      <c r="F150" s="44"/>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44"/>
      <c r="B151" s="44"/>
      <c r="C151" s="45"/>
      <c r="D151" s="44"/>
      <c r="E151" s="44"/>
      <c r="F151" s="44"/>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44"/>
      <c r="B152" s="44"/>
      <c r="C152" s="45"/>
      <c r="D152" s="44"/>
      <c r="E152" s="44"/>
      <c r="F152" s="44"/>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44"/>
      <c r="B153" s="44"/>
      <c r="C153" s="45"/>
      <c r="D153" s="44"/>
      <c r="E153" s="44"/>
      <c r="F153" s="44"/>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44"/>
      <c r="B154" s="44"/>
      <c r="C154" s="45"/>
      <c r="D154" s="44"/>
      <c r="E154" s="44"/>
      <c r="F154" s="44"/>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44"/>
      <c r="B155" s="44"/>
      <c r="C155" s="45"/>
      <c r="D155" s="44"/>
      <c r="E155" s="44"/>
      <c r="F155" s="44"/>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44"/>
      <c r="B156" s="44"/>
      <c r="C156" s="45"/>
      <c r="D156" s="44"/>
      <c r="E156" s="44"/>
      <c r="F156" s="44"/>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44"/>
      <c r="B157" s="44"/>
      <c r="C157" s="45"/>
      <c r="D157" s="44"/>
      <c r="E157" s="44"/>
      <c r="F157" s="44"/>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44"/>
      <c r="B158" s="44"/>
      <c r="C158" s="45"/>
      <c r="D158" s="44"/>
      <c r="E158" s="44"/>
      <c r="F158" s="44"/>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44"/>
      <c r="B159" s="44"/>
      <c r="C159" s="45"/>
      <c r="D159" s="44"/>
      <c r="E159" s="44"/>
      <c r="F159" s="44"/>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44"/>
      <c r="B160" s="44"/>
      <c r="C160" s="45"/>
      <c r="D160" s="44"/>
      <c r="E160" s="44"/>
      <c r="F160" s="44"/>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44"/>
      <c r="B161" s="44"/>
      <c r="C161" s="45"/>
      <c r="D161" s="44"/>
      <c r="E161" s="44"/>
      <c r="F161" s="44"/>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44"/>
      <c r="B162" s="44"/>
      <c r="C162" s="45"/>
      <c r="D162" s="44"/>
      <c r="E162" s="44"/>
      <c r="F162" s="44"/>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44"/>
      <c r="B163" s="44"/>
      <c r="C163" s="45"/>
      <c r="D163" s="44"/>
      <c r="E163" s="44"/>
      <c r="F163" s="44"/>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44"/>
      <c r="B164" s="44"/>
      <c r="C164" s="45"/>
      <c r="D164" s="44"/>
      <c r="E164" s="44"/>
      <c r="F164" s="44"/>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44"/>
      <c r="B165" s="44"/>
      <c r="C165" s="45"/>
      <c r="D165" s="44"/>
      <c r="E165" s="44"/>
      <c r="F165" s="44"/>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44"/>
      <c r="B166" s="44"/>
      <c r="C166" s="45"/>
      <c r="D166" s="44"/>
      <c r="E166" s="44"/>
      <c r="F166" s="44"/>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44"/>
      <c r="B167" s="44"/>
      <c r="C167" s="45"/>
      <c r="D167" s="44"/>
      <c r="E167" s="44"/>
      <c r="F167" s="44"/>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44"/>
      <c r="B168" s="44"/>
      <c r="C168" s="45"/>
      <c r="D168" s="44"/>
      <c r="E168" s="44"/>
      <c r="F168" s="44"/>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44"/>
      <c r="B169" s="44"/>
      <c r="C169" s="45"/>
      <c r="D169" s="44"/>
      <c r="E169" s="44"/>
      <c r="F169" s="44"/>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44"/>
      <c r="B170" s="44"/>
      <c r="C170" s="45"/>
      <c r="D170" s="44"/>
      <c r="E170" s="44"/>
      <c r="F170" s="44"/>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44"/>
      <c r="B171" s="44"/>
      <c r="C171" s="45"/>
      <c r="D171" s="44"/>
      <c r="E171" s="44"/>
      <c r="F171" s="44"/>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44"/>
      <c r="B172" s="44"/>
      <c r="C172" s="45"/>
      <c r="D172" s="44"/>
      <c r="E172" s="44"/>
      <c r="F172" s="44"/>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44"/>
      <c r="B173" s="44"/>
      <c r="C173" s="45"/>
      <c r="D173" s="44"/>
      <c r="E173" s="44"/>
      <c r="F173" s="44"/>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44"/>
      <c r="B174" s="44"/>
      <c r="C174" s="45"/>
      <c r="D174" s="44"/>
      <c r="E174" s="44"/>
      <c r="F174" s="44"/>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44"/>
      <c r="B175" s="44"/>
      <c r="C175" s="45"/>
      <c r="D175" s="44"/>
      <c r="E175" s="44"/>
      <c r="F175" s="44"/>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44"/>
      <c r="B176" s="44"/>
      <c r="C176" s="45"/>
      <c r="D176" s="44"/>
      <c r="E176" s="44"/>
      <c r="F176" s="44"/>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44"/>
      <c r="B177" s="44"/>
      <c r="C177" s="45"/>
      <c r="D177" s="44"/>
      <c r="E177" s="44"/>
      <c r="F177" s="44"/>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44"/>
      <c r="B178" s="44"/>
      <c r="C178" s="45"/>
      <c r="D178" s="44"/>
      <c r="E178" s="44"/>
      <c r="F178" s="44"/>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44"/>
      <c r="B179" s="44"/>
      <c r="C179" s="45"/>
      <c r="D179" s="44"/>
      <c r="E179" s="44"/>
      <c r="F179" s="44"/>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44"/>
      <c r="B180" s="44"/>
      <c r="C180" s="45"/>
      <c r="D180" s="44"/>
      <c r="E180" s="44"/>
      <c r="F180" s="44"/>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44"/>
      <c r="B181" s="44"/>
      <c r="C181" s="45"/>
      <c r="D181" s="44"/>
      <c r="E181" s="44"/>
      <c r="F181" s="44"/>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44"/>
      <c r="B182" s="44"/>
      <c r="C182" s="45"/>
      <c r="D182" s="44"/>
      <c r="E182" s="44"/>
      <c r="F182" s="44"/>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44"/>
      <c r="B183" s="44"/>
      <c r="C183" s="45"/>
      <c r="D183" s="44"/>
      <c r="E183" s="44"/>
      <c r="F183" s="44"/>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44"/>
      <c r="B184" s="44"/>
      <c r="C184" s="45"/>
      <c r="D184" s="44"/>
      <c r="E184" s="44"/>
      <c r="F184" s="44"/>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44"/>
      <c r="B185" s="44"/>
      <c r="C185" s="45"/>
      <c r="D185" s="44"/>
      <c r="E185" s="44"/>
      <c r="F185" s="44"/>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44"/>
      <c r="B186" s="44"/>
      <c r="C186" s="45"/>
      <c r="D186" s="44"/>
      <c r="E186" s="44"/>
      <c r="F186" s="44"/>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44"/>
      <c r="B187" s="44"/>
      <c r="C187" s="45"/>
      <c r="D187" s="44"/>
      <c r="E187" s="44"/>
      <c r="F187" s="44"/>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44"/>
      <c r="B188" s="44"/>
      <c r="C188" s="45"/>
      <c r="D188" s="44"/>
      <c r="E188" s="44"/>
      <c r="F188" s="44"/>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44"/>
      <c r="B189" s="44"/>
      <c r="C189" s="45"/>
      <c r="D189" s="44"/>
      <c r="E189" s="44"/>
      <c r="F189" s="44"/>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44"/>
      <c r="B190" s="44"/>
      <c r="C190" s="45"/>
      <c r="D190" s="44"/>
      <c r="E190" s="44"/>
      <c r="F190" s="44"/>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44"/>
      <c r="B191" s="44"/>
      <c r="C191" s="45"/>
      <c r="D191" s="44"/>
      <c r="E191" s="44"/>
      <c r="F191" s="44"/>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44"/>
      <c r="B192" s="44"/>
      <c r="C192" s="45"/>
      <c r="D192" s="44"/>
      <c r="E192" s="44"/>
      <c r="F192" s="44"/>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44"/>
      <c r="B193" s="44"/>
      <c r="C193" s="45"/>
      <c r="D193" s="44"/>
      <c r="E193" s="44"/>
      <c r="F193" s="44"/>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44"/>
      <c r="B194" s="44"/>
      <c r="C194" s="45"/>
      <c r="D194" s="44"/>
      <c r="E194" s="44"/>
      <c r="F194" s="44"/>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44"/>
      <c r="B195" s="44"/>
      <c r="C195" s="45"/>
      <c r="D195" s="44"/>
      <c r="E195" s="44"/>
      <c r="F195" s="44"/>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44"/>
      <c r="B196" s="44"/>
      <c r="C196" s="45"/>
      <c r="D196" s="44"/>
      <c r="E196" s="44"/>
      <c r="F196" s="44"/>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44"/>
      <c r="B197" s="44"/>
      <c r="C197" s="45"/>
      <c r="D197" s="44"/>
      <c r="E197" s="44"/>
      <c r="F197" s="44"/>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44"/>
      <c r="B198" s="44"/>
      <c r="C198" s="45"/>
      <c r="D198" s="44"/>
      <c r="E198" s="44"/>
      <c r="F198" s="44"/>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44"/>
      <c r="B199" s="44"/>
      <c r="C199" s="45"/>
      <c r="D199" s="44"/>
      <c r="E199" s="44"/>
      <c r="F199" s="44"/>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44"/>
      <c r="B200" s="44"/>
      <c r="C200" s="45"/>
      <c r="D200" s="44"/>
      <c r="E200" s="44"/>
      <c r="F200" s="44"/>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44"/>
      <c r="B201" s="44"/>
      <c r="C201" s="45"/>
      <c r="D201" s="44"/>
      <c r="E201" s="44"/>
      <c r="F201" s="44"/>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44"/>
      <c r="B202" s="44"/>
      <c r="C202" s="45"/>
      <c r="D202" s="44"/>
      <c r="E202" s="44"/>
      <c r="F202" s="44"/>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44"/>
      <c r="B203" s="44"/>
      <c r="C203" s="45"/>
      <c r="D203" s="44"/>
      <c r="E203" s="44"/>
      <c r="F203" s="44"/>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44"/>
      <c r="B204" s="44"/>
      <c r="C204" s="45"/>
      <c r="D204" s="44"/>
      <c r="E204" s="44"/>
      <c r="F204" s="44"/>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44"/>
      <c r="B205" s="44"/>
      <c r="C205" s="45"/>
      <c r="D205" s="44"/>
      <c r="E205" s="44"/>
      <c r="F205" s="44"/>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44"/>
      <c r="B206" s="44"/>
      <c r="C206" s="45"/>
      <c r="D206" s="44"/>
      <c r="E206" s="44"/>
      <c r="F206" s="44"/>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44"/>
      <c r="B207" s="44"/>
      <c r="C207" s="45"/>
      <c r="D207" s="44"/>
      <c r="E207" s="44"/>
      <c r="F207" s="44"/>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44"/>
      <c r="B208" s="44"/>
      <c r="C208" s="45"/>
      <c r="D208" s="44"/>
      <c r="E208" s="44"/>
      <c r="F208" s="44"/>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44"/>
      <c r="B209" s="44"/>
      <c r="C209" s="45"/>
      <c r="D209" s="44"/>
      <c r="E209" s="44"/>
      <c r="F209" s="44"/>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44"/>
      <c r="B210" s="44"/>
      <c r="C210" s="45"/>
      <c r="D210" s="44"/>
      <c r="E210" s="44"/>
      <c r="F210" s="44"/>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44"/>
      <c r="B211" s="44"/>
      <c r="C211" s="45"/>
      <c r="D211" s="44"/>
      <c r="E211" s="44"/>
      <c r="F211" s="44"/>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44"/>
      <c r="B212" s="44"/>
      <c r="C212" s="45"/>
      <c r="D212" s="44"/>
      <c r="E212" s="44"/>
      <c r="F212" s="44"/>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44"/>
      <c r="B213" s="44"/>
      <c r="C213" s="45"/>
      <c r="D213" s="44"/>
      <c r="E213" s="44"/>
      <c r="F213" s="44"/>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44"/>
      <c r="B214" s="44"/>
      <c r="C214" s="45"/>
      <c r="D214" s="44"/>
      <c r="E214" s="44"/>
      <c r="F214" s="44"/>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44"/>
      <c r="B215" s="44"/>
      <c r="C215" s="45"/>
      <c r="D215" s="44"/>
      <c r="E215" s="44"/>
      <c r="F215" s="44"/>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44"/>
      <c r="B216" s="44"/>
      <c r="C216" s="45"/>
      <c r="D216" s="44"/>
      <c r="E216" s="44"/>
      <c r="F216" s="44"/>
      <c r="G216" s="18"/>
      <c r="H216" s="18"/>
      <c r="I216" s="18"/>
      <c r="J216" s="18"/>
      <c r="K216" s="18"/>
      <c r="L216" s="18"/>
      <c r="M216" s="18"/>
      <c r="N216" s="18"/>
      <c r="O216" s="18"/>
      <c r="P216" s="18"/>
      <c r="Q216" s="18"/>
      <c r="R216" s="18"/>
      <c r="S216" s="18"/>
      <c r="T216" s="18"/>
      <c r="U216" s="18"/>
      <c r="V216" s="18"/>
      <c r="W216" s="18"/>
      <c r="X216" s="18"/>
      <c r="Y216" s="18"/>
      <c r="Z216" s="18"/>
    </row>
    <row r="217" ht="15.75" customHeight="1">
      <c r="A217" s="44"/>
      <c r="B217" s="44"/>
      <c r="C217" s="45"/>
      <c r="D217" s="44"/>
      <c r="E217" s="44"/>
      <c r="F217" s="44"/>
      <c r="G217" s="18"/>
      <c r="H217" s="18"/>
      <c r="I217" s="18"/>
      <c r="J217" s="18"/>
      <c r="K217" s="18"/>
      <c r="L217" s="18"/>
      <c r="M217" s="18"/>
      <c r="N217" s="18"/>
      <c r="O217" s="18"/>
      <c r="P217" s="18"/>
      <c r="Q217" s="18"/>
      <c r="R217" s="18"/>
      <c r="S217" s="18"/>
      <c r="T217" s="18"/>
      <c r="U217" s="18"/>
      <c r="V217" s="18"/>
      <c r="W217" s="18"/>
      <c r="X217" s="18"/>
      <c r="Y217" s="18"/>
      <c r="Z217" s="18"/>
    </row>
    <row r="218" ht="15.75" customHeight="1">
      <c r="A218" s="44"/>
      <c r="B218" s="44"/>
      <c r="C218" s="45"/>
      <c r="D218" s="44"/>
      <c r="E218" s="44"/>
      <c r="F218" s="44"/>
      <c r="G218" s="18"/>
      <c r="H218" s="18"/>
      <c r="I218" s="18"/>
      <c r="J218" s="18"/>
      <c r="K218" s="18"/>
      <c r="L218" s="18"/>
      <c r="M218" s="18"/>
      <c r="N218" s="18"/>
      <c r="O218" s="18"/>
      <c r="P218" s="18"/>
      <c r="Q218" s="18"/>
      <c r="R218" s="18"/>
      <c r="S218" s="18"/>
      <c r="T218" s="18"/>
      <c r="U218" s="18"/>
      <c r="V218" s="18"/>
      <c r="W218" s="18"/>
      <c r="X218" s="18"/>
      <c r="Y218" s="18"/>
      <c r="Z218" s="18"/>
    </row>
    <row r="219" ht="15.75" customHeight="1">
      <c r="A219" s="44"/>
      <c r="B219" s="44"/>
      <c r="C219" s="45"/>
      <c r="D219" s="44"/>
      <c r="E219" s="44"/>
      <c r="F219" s="44"/>
      <c r="G219" s="18"/>
      <c r="H219" s="18"/>
      <c r="I219" s="18"/>
      <c r="J219" s="18"/>
      <c r="K219" s="18"/>
      <c r="L219" s="18"/>
      <c r="M219" s="18"/>
      <c r="N219" s="18"/>
      <c r="O219" s="18"/>
      <c r="P219" s="18"/>
      <c r="Q219" s="18"/>
      <c r="R219" s="18"/>
      <c r="S219" s="18"/>
      <c r="T219" s="18"/>
      <c r="U219" s="18"/>
      <c r="V219" s="18"/>
      <c r="W219" s="18"/>
      <c r="X219" s="18"/>
      <c r="Y219" s="18"/>
      <c r="Z219" s="18"/>
    </row>
    <row r="220" ht="15.75" customHeight="1">
      <c r="A220" s="44"/>
      <c r="B220" s="44"/>
      <c r="C220" s="45"/>
      <c r="D220" s="44"/>
      <c r="E220" s="44"/>
      <c r="F220" s="44"/>
      <c r="G220" s="18"/>
      <c r="H220" s="18"/>
      <c r="I220" s="18"/>
      <c r="J220" s="18"/>
      <c r="K220" s="18"/>
      <c r="L220" s="18"/>
      <c r="M220" s="18"/>
      <c r="N220" s="18"/>
      <c r="O220" s="18"/>
      <c r="P220" s="18"/>
      <c r="Q220" s="18"/>
      <c r="R220" s="18"/>
      <c r="S220" s="18"/>
      <c r="T220" s="18"/>
      <c r="U220" s="18"/>
      <c r="V220" s="18"/>
      <c r="W220" s="18"/>
      <c r="X220" s="18"/>
      <c r="Y220" s="18"/>
      <c r="Z220" s="18"/>
    </row>
    <row r="221" ht="15.75" customHeight="1">
      <c r="A221" s="44"/>
      <c r="B221" s="44"/>
      <c r="C221" s="45"/>
      <c r="D221" s="44"/>
      <c r="E221" s="44"/>
      <c r="F221" s="44"/>
      <c r="G221" s="18"/>
      <c r="H221" s="18"/>
      <c r="I221" s="18"/>
      <c r="J221" s="18"/>
      <c r="K221" s="18"/>
      <c r="L221" s="18"/>
      <c r="M221" s="18"/>
      <c r="N221" s="18"/>
      <c r="O221" s="18"/>
      <c r="P221" s="18"/>
      <c r="Q221" s="18"/>
      <c r="R221" s="18"/>
      <c r="S221" s="18"/>
      <c r="T221" s="18"/>
      <c r="U221" s="18"/>
      <c r="V221" s="18"/>
      <c r="W221" s="18"/>
      <c r="X221" s="18"/>
      <c r="Y221" s="18"/>
      <c r="Z221" s="18"/>
    </row>
    <row r="222" ht="15.75" customHeight="1">
      <c r="A222" s="44"/>
      <c r="B222" s="44"/>
      <c r="C222" s="45"/>
      <c r="D222" s="44"/>
      <c r="E222" s="44"/>
      <c r="F222" s="44"/>
      <c r="G222" s="18"/>
      <c r="H222" s="18"/>
      <c r="I222" s="18"/>
      <c r="J222" s="18"/>
      <c r="K222" s="18"/>
      <c r="L222" s="18"/>
      <c r="M222" s="18"/>
      <c r="N222" s="18"/>
      <c r="O222" s="18"/>
      <c r="P222" s="18"/>
      <c r="Q222" s="18"/>
      <c r="R222" s="18"/>
      <c r="S222" s="18"/>
      <c r="T222" s="18"/>
      <c r="U222" s="18"/>
      <c r="V222" s="18"/>
      <c r="W222" s="18"/>
      <c r="X222" s="18"/>
      <c r="Y222" s="18"/>
      <c r="Z222" s="18"/>
    </row>
    <row r="223" ht="15.75" customHeight="1">
      <c r="A223" s="44"/>
      <c r="B223" s="44"/>
      <c r="C223" s="45"/>
      <c r="D223" s="44"/>
      <c r="E223" s="44"/>
      <c r="F223" s="44"/>
      <c r="G223" s="18"/>
      <c r="H223" s="18"/>
      <c r="I223" s="18"/>
      <c r="J223" s="18"/>
      <c r="K223" s="18"/>
      <c r="L223" s="18"/>
      <c r="M223" s="18"/>
      <c r="N223" s="18"/>
      <c r="O223" s="18"/>
      <c r="P223" s="18"/>
      <c r="Q223" s="18"/>
      <c r="R223" s="18"/>
      <c r="S223" s="18"/>
      <c r="T223" s="18"/>
      <c r="U223" s="18"/>
      <c r="V223" s="18"/>
      <c r="W223" s="18"/>
      <c r="X223" s="18"/>
      <c r="Y223" s="18"/>
      <c r="Z223" s="18"/>
    </row>
    <row r="224" ht="15.75" customHeight="1">
      <c r="A224" s="44"/>
      <c r="B224" s="44"/>
      <c r="C224" s="45"/>
      <c r="D224" s="44"/>
      <c r="E224" s="44"/>
      <c r="F224" s="44"/>
      <c r="G224" s="18"/>
      <c r="H224" s="18"/>
      <c r="I224" s="18"/>
      <c r="J224" s="18"/>
      <c r="K224" s="18"/>
      <c r="L224" s="18"/>
      <c r="M224" s="18"/>
      <c r="N224" s="18"/>
      <c r="O224" s="18"/>
      <c r="P224" s="18"/>
      <c r="Q224" s="18"/>
      <c r="R224" s="18"/>
      <c r="S224" s="18"/>
      <c r="T224" s="18"/>
      <c r="U224" s="18"/>
      <c r="V224" s="18"/>
      <c r="W224" s="18"/>
      <c r="X224" s="18"/>
      <c r="Y224" s="18"/>
      <c r="Z224" s="18"/>
    </row>
    <row r="225" ht="15.75" customHeight="1">
      <c r="A225" s="44"/>
      <c r="B225" s="44"/>
      <c r="C225" s="45"/>
      <c r="D225" s="44"/>
      <c r="E225" s="44"/>
      <c r="F225" s="44"/>
      <c r="G225" s="18"/>
      <c r="H225" s="18"/>
      <c r="I225" s="18"/>
      <c r="J225" s="18"/>
      <c r="K225" s="18"/>
      <c r="L225" s="18"/>
      <c r="M225" s="18"/>
      <c r="N225" s="18"/>
      <c r="O225" s="18"/>
      <c r="P225" s="18"/>
      <c r="Q225" s="18"/>
      <c r="R225" s="18"/>
      <c r="S225" s="18"/>
      <c r="T225" s="18"/>
      <c r="U225" s="18"/>
      <c r="V225" s="18"/>
      <c r="W225" s="18"/>
      <c r="X225" s="18"/>
      <c r="Y225" s="18"/>
      <c r="Z225" s="18"/>
    </row>
    <row r="226" ht="15.75" customHeight="1">
      <c r="A226" s="44"/>
      <c r="B226" s="44"/>
      <c r="C226" s="45"/>
      <c r="D226" s="44"/>
      <c r="E226" s="44"/>
      <c r="F226" s="44"/>
      <c r="G226" s="18"/>
      <c r="H226" s="18"/>
      <c r="I226" s="18"/>
      <c r="J226" s="18"/>
      <c r="K226" s="18"/>
      <c r="L226" s="18"/>
      <c r="M226" s="18"/>
      <c r="N226" s="18"/>
      <c r="O226" s="18"/>
      <c r="P226" s="18"/>
      <c r="Q226" s="18"/>
      <c r="R226" s="18"/>
      <c r="S226" s="18"/>
      <c r="T226" s="18"/>
      <c r="U226" s="18"/>
      <c r="V226" s="18"/>
      <c r="W226" s="18"/>
      <c r="X226" s="18"/>
      <c r="Y226" s="18"/>
      <c r="Z226" s="18"/>
    </row>
    <row r="227" ht="15.75" customHeight="1">
      <c r="A227" s="44"/>
      <c r="B227" s="44"/>
      <c r="C227" s="45"/>
      <c r="D227" s="44"/>
      <c r="E227" s="44"/>
      <c r="F227" s="44"/>
      <c r="G227" s="18"/>
      <c r="H227" s="18"/>
      <c r="I227" s="18"/>
      <c r="J227" s="18"/>
      <c r="K227" s="18"/>
      <c r="L227" s="18"/>
      <c r="M227" s="18"/>
      <c r="N227" s="18"/>
      <c r="O227" s="18"/>
      <c r="P227" s="18"/>
      <c r="Q227" s="18"/>
      <c r="R227" s="18"/>
      <c r="S227" s="18"/>
      <c r="T227" s="18"/>
      <c r="U227" s="18"/>
      <c r="V227" s="18"/>
      <c r="W227" s="18"/>
      <c r="X227" s="18"/>
      <c r="Y227" s="18"/>
      <c r="Z227" s="18"/>
    </row>
    <row r="228" ht="15.75" customHeight="1">
      <c r="A228" s="44"/>
      <c r="B228" s="44"/>
      <c r="C228" s="45"/>
      <c r="D228" s="44"/>
      <c r="E228" s="44"/>
      <c r="F228" s="44"/>
      <c r="G228" s="18"/>
      <c r="H228" s="18"/>
      <c r="I228" s="18"/>
      <c r="J228" s="18"/>
      <c r="K228" s="18"/>
      <c r="L228" s="18"/>
      <c r="M228" s="18"/>
      <c r="N228" s="18"/>
      <c r="O228" s="18"/>
      <c r="P228" s="18"/>
      <c r="Q228" s="18"/>
      <c r="R228" s="18"/>
      <c r="S228" s="18"/>
      <c r="T228" s="18"/>
      <c r="U228" s="18"/>
      <c r="V228" s="18"/>
      <c r="W228" s="18"/>
      <c r="X228" s="18"/>
      <c r="Y228" s="18"/>
      <c r="Z228" s="18"/>
    </row>
    <row r="229" ht="15.75" customHeight="1">
      <c r="A229" s="44"/>
      <c r="B229" s="44"/>
      <c r="C229" s="45"/>
      <c r="D229" s="44"/>
      <c r="E229" s="44"/>
      <c r="F229" s="44"/>
      <c r="G229" s="18"/>
      <c r="H229" s="18"/>
      <c r="I229" s="18"/>
      <c r="J229" s="18"/>
      <c r="K229" s="18"/>
      <c r="L229" s="18"/>
      <c r="M229" s="18"/>
      <c r="N229" s="18"/>
      <c r="O229" s="18"/>
      <c r="P229" s="18"/>
      <c r="Q229" s="18"/>
      <c r="R229" s="18"/>
      <c r="S229" s="18"/>
      <c r="T229" s="18"/>
      <c r="U229" s="18"/>
      <c r="V229" s="18"/>
      <c r="W229" s="18"/>
      <c r="X229" s="18"/>
      <c r="Y229" s="18"/>
      <c r="Z229" s="18"/>
    </row>
    <row r="230" ht="15.75" customHeight="1">
      <c r="A230" s="44"/>
      <c r="B230" s="44"/>
      <c r="C230" s="45"/>
      <c r="D230" s="44"/>
      <c r="E230" s="44"/>
      <c r="F230" s="44"/>
      <c r="G230" s="18"/>
      <c r="H230" s="18"/>
      <c r="I230" s="18"/>
      <c r="J230" s="18"/>
      <c r="K230" s="18"/>
      <c r="L230" s="18"/>
      <c r="M230" s="18"/>
      <c r="N230" s="18"/>
      <c r="O230" s="18"/>
      <c r="P230" s="18"/>
      <c r="Q230" s="18"/>
      <c r="R230" s="18"/>
      <c r="S230" s="18"/>
      <c r="T230" s="18"/>
      <c r="U230" s="18"/>
      <c r="V230" s="18"/>
      <c r="W230" s="18"/>
      <c r="X230" s="18"/>
      <c r="Y230" s="18"/>
      <c r="Z230" s="18"/>
    </row>
    <row r="231" ht="15.75" customHeight="1">
      <c r="A231" s="44"/>
      <c r="B231" s="44"/>
      <c r="C231" s="45"/>
      <c r="D231" s="44"/>
      <c r="E231" s="44"/>
      <c r="F231" s="44"/>
      <c r="G231" s="18"/>
      <c r="H231" s="18"/>
      <c r="I231" s="18"/>
      <c r="J231" s="18"/>
      <c r="K231" s="18"/>
      <c r="L231" s="18"/>
      <c r="M231" s="18"/>
      <c r="N231" s="18"/>
      <c r="O231" s="18"/>
      <c r="P231" s="18"/>
      <c r="Q231" s="18"/>
      <c r="R231" s="18"/>
      <c r="S231" s="18"/>
      <c r="T231" s="18"/>
      <c r="U231" s="18"/>
      <c r="V231" s="18"/>
      <c r="W231" s="18"/>
      <c r="X231" s="18"/>
      <c r="Y231" s="18"/>
      <c r="Z231" s="18"/>
    </row>
    <row r="232" ht="15.75" customHeight="1">
      <c r="A232" s="44"/>
      <c r="B232" s="44"/>
      <c r="C232" s="45"/>
      <c r="D232" s="44"/>
      <c r="E232" s="44"/>
      <c r="F232" s="44"/>
      <c r="G232" s="18"/>
      <c r="H232" s="18"/>
      <c r="I232" s="18"/>
      <c r="J232" s="18"/>
      <c r="K232" s="18"/>
      <c r="L232" s="18"/>
      <c r="M232" s="18"/>
      <c r="N232" s="18"/>
      <c r="O232" s="18"/>
      <c r="P232" s="18"/>
      <c r="Q232" s="18"/>
      <c r="R232" s="18"/>
      <c r="S232" s="18"/>
      <c r="T232" s="18"/>
      <c r="U232" s="18"/>
      <c r="V232" s="18"/>
      <c r="W232" s="18"/>
      <c r="X232" s="18"/>
      <c r="Y232" s="18"/>
      <c r="Z232" s="18"/>
    </row>
    <row r="233" ht="15.75" customHeight="1">
      <c r="A233" s="44"/>
      <c r="B233" s="44"/>
      <c r="C233" s="45"/>
      <c r="D233" s="44"/>
      <c r="E233" s="44"/>
      <c r="F233" s="44"/>
      <c r="G233" s="18"/>
      <c r="H233" s="18"/>
      <c r="I233" s="18"/>
      <c r="J233" s="18"/>
      <c r="K233" s="18"/>
      <c r="L233" s="18"/>
      <c r="M233" s="18"/>
      <c r="N233" s="18"/>
      <c r="O233" s="18"/>
      <c r="P233" s="18"/>
      <c r="Q233" s="18"/>
      <c r="R233" s="18"/>
      <c r="S233" s="18"/>
      <c r="T233" s="18"/>
      <c r="U233" s="18"/>
      <c r="V233" s="18"/>
      <c r="W233" s="18"/>
      <c r="X233" s="18"/>
      <c r="Y233" s="18"/>
      <c r="Z233" s="18"/>
    </row>
    <row r="234" ht="15.75" customHeight="1">
      <c r="A234" s="44"/>
      <c r="B234" s="44"/>
      <c r="C234" s="45"/>
      <c r="D234" s="44"/>
      <c r="E234" s="44"/>
      <c r="F234" s="44"/>
      <c r="G234" s="18"/>
      <c r="H234" s="18"/>
      <c r="I234" s="18"/>
      <c r="J234" s="18"/>
      <c r="K234" s="18"/>
      <c r="L234" s="18"/>
      <c r="M234" s="18"/>
      <c r="N234" s="18"/>
      <c r="O234" s="18"/>
      <c r="P234" s="18"/>
      <c r="Q234" s="18"/>
      <c r="R234" s="18"/>
      <c r="S234" s="18"/>
      <c r="T234" s="18"/>
      <c r="U234" s="18"/>
      <c r="V234" s="18"/>
      <c r="W234" s="18"/>
      <c r="X234" s="18"/>
      <c r="Y234" s="18"/>
      <c r="Z234" s="18"/>
    </row>
    <row r="235" ht="15.75" customHeight="1">
      <c r="A235" s="44"/>
      <c r="B235" s="44"/>
      <c r="C235" s="45"/>
      <c r="D235" s="44"/>
      <c r="E235" s="44"/>
      <c r="F235" s="44"/>
      <c r="G235" s="18"/>
      <c r="H235" s="18"/>
      <c r="I235" s="18"/>
      <c r="J235" s="18"/>
      <c r="K235" s="18"/>
      <c r="L235" s="18"/>
      <c r="M235" s="18"/>
      <c r="N235" s="18"/>
      <c r="O235" s="18"/>
      <c r="P235" s="18"/>
      <c r="Q235" s="18"/>
      <c r="R235" s="18"/>
      <c r="S235" s="18"/>
      <c r="T235" s="18"/>
      <c r="U235" s="18"/>
      <c r="V235" s="18"/>
      <c r="W235" s="18"/>
      <c r="X235" s="18"/>
      <c r="Y235" s="18"/>
      <c r="Z235" s="18"/>
    </row>
    <row r="236" ht="15.75" customHeight="1">
      <c r="A236" s="44"/>
      <c r="B236" s="44"/>
      <c r="C236" s="45"/>
      <c r="D236" s="44"/>
      <c r="E236" s="44"/>
      <c r="F236" s="44"/>
      <c r="G236" s="18"/>
      <c r="H236" s="18"/>
      <c r="I236" s="18"/>
      <c r="J236" s="18"/>
      <c r="K236" s="18"/>
      <c r="L236" s="18"/>
      <c r="M236" s="18"/>
      <c r="N236" s="18"/>
      <c r="O236" s="18"/>
      <c r="P236" s="18"/>
      <c r="Q236" s="18"/>
      <c r="R236" s="18"/>
      <c r="S236" s="18"/>
      <c r="T236" s="18"/>
      <c r="U236" s="18"/>
      <c r="V236" s="18"/>
      <c r="W236" s="18"/>
      <c r="X236" s="18"/>
      <c r="Y236" s="18"/>
      <c r="Z236" s="18"/>
    </row>
    <row r="237" ht="15.75" customHeight="1">
      <c r="A237" s="44"/>
      <c r="B237" s="44"/>
      <c r="C237" s="45"/>
      <c r="D237" s="44"/>
      <c r="E237" s="44"/>
      <c r="F237" s="44"/>
      <c r="G237" s="18"/>
      <c r="H237" s="18"/>
      <c r="I237" s="18"/>
      <c r="J237" s="18"/>
      <c r="K237" s="18"/>
      <c r="L237" s="18"/>
      <c r="M237" s="18"/>
      <c r="N237" s="18"/>
      <c r="O237" s="18"/>
      <c r="P237" s="18"/>
      <c r="Q237" s="18"/>
      <c r="R237" s="18"/>
      <c r="S237" s="18"/>
      <c r="T237" s="18"/>
      <c r="U237" s="18"/>
      <c r="V237" s="18"/>
      <c r="W237" s="18"/>
      <c r="X237" s="18"/>
      <c r="Y237" s="18"/>
      <c r="Z237" s="18"/>
    </row>
    <row r="238" ht="15.75" customHeight="1">
      <c r="A238" s="44"/>
      <c r="B238" s="44"/>
      <c r="C238" s="45"/>
      <c r="D238" s="44"/>
      <c r="E238" s="44"/>
      <c r="F238" s="44"/>
      <c r="G238" s="18"/>
      <c r="H238" s="18"/>
      <c r="I238" s="18"/>
      <c r="J238" s="18"/>
      <c r="K238" s="18"/>
      <c r="L238" s="18"/>
      <c r="M238" s="18"/>
      <c r="N238" s="18"/>
      <c r="O238" s="18"/>
      <c r="P238" s="18"/>
      <c r="Q238" s="18"/>
      <c r="R238" s="18"/>
      <c r="S238" s="18"/>
      <c r="T238" s="18"/>
      <c r="U238" s="18"/>
      <c r="V238" s="18"/>
      <c r="W238" s="18"/>
      <c r="X238" s="18"/>
      <c r="Y238" s="18"/>
      <c r="Z238" s="18"/>
    </row>
    <row r="239" ht="15.75" customHeight="1">
      <c r="A239" s="44"/>
      <c r="B239" s="44"/>
      <c r="C239" s="45"/>
      <c r="D239" s="44"/>
      <c r="E239" s="44"/>
      <c r="F239" s="44"/>
      <c r="G239" s="18"/>
      <c r="H239" s="18"/>
      <c r="I239" s="18"/>
      <c r="J239" s="18"/>
      <c r="K239" s="18"/>
      <c r="L239" s="18"/>
      <c r="M239" s="18"/>
      <c r="N239" s="18"/>
      <c r="O239" s="18"/>
      <c r="P239" s="18"/>
      <c r="Q239" s="18"/>
      <c r="R239" s="18"/>
      <c r="S239" s="18"/>
      <c r="T239" s="18"/>
      <c r="U239" s="18"/>
      <c r="V239" s="18"/>
      <c r="W239" s="18"/>
      <c r="X239" s="18"/>
      <c r="Y239" s="18"/>
      <c r="Z239" s="18"/>
    </row>
    <row r="240" ht="15.75" customHeight="1">
      <c r="A240" s="44"/>
      <c r="B240" s="44"/>
      <c r="C240" s="45"/>
      <c r="D240" s="44"/>
      <c r="E240" s="44"/>
      <c r="F240" s="44"/>
      <c r="G240" s="18"/>
      <c r="H240" s="18"/>
      <c r="I240" s="18"/>
      <c r="J240" s="18"/>
      <c r="K240" s="18"/>
      <c r="L240" s="18"/>
      <c r="M240" s="18"/>
      <c r="N240" s="18"/>
      <c r="O240" s="18"/>
      <c r="P240" s="18"/>
      <c r="Q240" s="18"/>
      <c r="R240" s="18"/>
      <c r="S240" s="18"/>
      <c r="T240" s="18"/>
      <c r="U240" s="18"/>
      <c r="V240" s="18"/>
      <c r="W240" s="18"/>
      <c r="X240" s="18"/>
      <c r="Y240" s="18"/>
      <c r="Z240" s="18"/>
    </row>
    <row r="241" ht="15.75" customHeight="1">
      <c r="A241" s="44"/>
      <c r="B241" s="44"/>
      <c r="C241" s="45"/>
      <c r="D241" s="44"/>
      <c r="E241" s="44"/>
      <c r="F241" s="44"/>
      <c r="G241" s="18"/>
      <c r="H241" s="18"/>
      <c r="I241" s="18"/>
      <c r="J241" s="18"/>
      <c r="K241" s="18"/>
      <c r="L241" s="18"/>
      <c r="M241" s="18"/>
      <c r="N241" s="18"/>
      <c r="O241" s="18"/>
      <c r="P241" s="18"/>
      <c r="Q241" s="18"/>
      <c r="R241" s="18"/>
      <c r="S241" s="18"/>
      <c r="T241" s="18"/>
      <c r="U241" s="18"/>
      <c r="V241" s="18"/>
      <c r="W241" s="18"/>
      <c r="X241" s="18"/>
      <c r="Y241" s="18"/>
      <c r="Z241" s="18"/>
    </row>
    <row r="242" ht="15.75" customHeight="1">
      <c r="A242" s="44"/>
      <c r="B242" s="44"/>
      <c r="C242" s="45"/>
      <c r="D242" s="44"/>
      <c r="E242" s="44"/>
      <c r="F242" s="44"/>
      <c r="G242" s="18"/>
      <c r="H242" s="18"/>
      <c r="I242" s="18"/>
      <c r="J242" s="18"/>
      <c r="K242" s="18"/>
      <c r="L242" s="18"/>
      <c r="M242" s="18"/>
      <c r="N242" s="18"/>
      <c r="O242" s="18"/>
      <c r="P242" s="18"/>
      <c r="Q242" s="18"/>
      <c r="R242" s="18"/>
      <c r="S242" s="18"/>
      <c r="T242" s="18"/>
      <c r="U242" s="18"/>
      <c r="V242" s="18"/>
      <c r="W242" s="18"/>
      <c r="X242" s="18"/>
      <c r="Y242" s="18"/>
      <c r="Z242" s="18"/>
    </row>
    <row r="243" ht="15.75" customHeight="1">
      <c r="A243" s="44"/>
      <c r="B243" s="44"/>
      <c r="C243" s="45"/>
      <c r="D243" s="44"/>
      <c r="E243" s="44"/>
      <c r="F243" s="44"/>
      <c r="G243" s="18"/>
      <c r="H243" s="18"/>
      <c r="I243" s="18"/>
      <c r="J243" s="18"/>
      <c r="K243" s="18"/>
      <c r="L243" s="18"/>
      <c r="M243" s="18"/>
      <c r="N243" s="18"/>
      <c r="O243" s="18"/>
      <c r="P243" s="18"/>
      <c r="Q243" s="18"/>
      <c r="R243" s="18"/>
      <c r="S243" s="18"/>
      <c r="T243" s="18"/>
      <c r="U243" s="18"/>
      <c r="V243" s="18"/>
      <c r="W243" s="18"/>
      <c r="X243" s="18"/>
      <c r="Y243" s="18"/>
      <c r="Z243" s="18"/>
    </row>
    <row r="244" ht="15.75" customHeight="1">
      <c r="A244" s="44"/>
      <c r="B244" s="44"/>
      <c r="C244" s="45"/>
      <c r="D244" s="44"/>
      <c r="E244" s="44"/>
      <c r="F244" s="44"/>
      <c r="G244" s="18"/>
      <c r="H244" s="18"/>
      <c r="I244" s="18"/>
      <c r="J244" s="18"/>
      <c r="K244" s="18"/>
      <c r="L244" s="18"/>
      <c r="M244" s="18"/>
      <c r="N244" s="18"/>
      <c r="O244" s="18"/>
      <c r="P244" s="18"/>
      <c r="Q244" s="18"/>
      <c r="R244" s="18"/>
      <c r="S244" s="18"/>
      <c r="T244" s="18"/>
      <c r="U244" s="18"/>
      <c r="V244" s="18"/>
      <c r="W244" s="18"/>
      <c r="X244" s="18"/>
      <c r="Y244" s="18"/>
      <c r="Z244" s="18"/>
    </row>
    <row r="245" ht="15.75" customHeight="1">
      <c r="A245" s="44"/>
      <c r="B245" s="44"/>
      <c r="C245" s="45"/>
      <c r="D245" s="44"/>
      <c r="E245" s="44"/>
      <c r="F245" s="44"/>
      <c r="G245" s="18"/>
      <c r="H245" s="18"/>
      <c r="I245" s="18"/>
      <c r="J245" s="18"/>
      <c r="K245" s="18"/>
      <c r="L245" s="18"/>
      <c r="M245" s="18"/>
      <c r="N245" s="18"/>
      <c r="O245" s="18"/>
      <c r="P245" s="18"/>
      <c r="Q245" s="18"/>
      <c r="R245" s="18"/>
      <c r="S245" s="18"/>
      <c r="T245" s="18"/>
      <c r="U245" s="18"/>
      <c r="V245" s="18"/>
      <c r="W245" s="18"/>
      <c r="X245" s="18"/>
      <c r="Y245" s="18"/>
      <c r="Z245" s="18"/>
    </row>
    <row r="246" ht="15.75" customHeight="1">
      <c r="A246" s="44"/>
      <c r="B246" s="44"/>
      <c r="C246" s="45"/>
      <c r="D246" s="44"/>
      <c r="E246" s="44"/>
      <c r="F246" s="44"/>
      <c r="G246" s="18"/>
      <c r="H246" s="18"/>
      <c r="I246" s="18"/>
      <c r="J246" s="18"/>
      <c r="K246" s="18"/>
      <c r="L246" s="18"/>
      <c r="M246" s="18"/>
      <c r="N246" s="18"/>
      <c r="O246" s="18"/>
      <c r="P246" s="18"/>
      <c r="Q246" s="18"/>
      <c r="R246" s="18"/>
      <c r="S246" s="18"/>
      <c r="T246" s="18"/>
      <c r="U246" s="18"/>
      <c r="V246" s="18"/>
      <c r="W246" s="18"/>
      <c r="X246" s="18"/>
      <c r="Y246" s="18"/>
      <c r="Z246" s="18"/>
    </row>
    <row r="247" ht="15.75" customHeight="1">
      <c r="A247" s="44"/>
      <c r="B247" s="44"/>
      <c r="C247" s="45"/>
      <c r="D247" s="44"/>
      <c r="E247" s="44"/>
      <c r="F247" s="44"/>
      <c r="G247" s="18"/>
      <c r="H247" s="18"/>
      <c r="I247" s="18"/>
      <c r="J247" s="18"/>
      <c r="K247" s="18"/>
      <c r="L247" s="18"/>
      <c r="M247" s="18"/>
      <c r="N247" s="18"/>
      <c r="O247" s="18"/>
      <c r="P247" s="18"/>
      <c r="Q247" s="18"/>
      <c r="R247" s="18"/>
      <c r="S247" s="18"/>
      <c r="T247" s="18"/>
      <c r="U247" s="18"/>
      <c r="V247" s="18"/>
      <c r="W247" s="18"/>
      <c r="X247" s="18"/>
      <c r="Y247" s="18"/>
      <c r="Z247" s="18"/>
    </row>
    <row r="248" ht="15.75" customHeight="1">
      <c r="A248" s="44"/>
      <c r="B248" s="44"/>
      <c r="C248" s="45"/>
      <c r="D248" s="44"/>
      <c r="E248" s="44"/>
      <c r="F248" s="44"/>
      <c r="G248" s="18"/>
      <c r="H248" s="18"/>
      <c r="I248" s="18"/>
      <c r="J248" s="18"/>
      <c r="K248" s="18"/>
      <c r="L248" s="18"/>
      <c r="M248" s="18"/>
      <c r="N248" s="18"/>
      <c r="O248" s="18"/>
      <c r="P248" s="18"/>
      <c r="Q248" s="18"/>
      <c r="R248" s="18"/>
      <c r="S248" s="18"/>
      <c r="T248" s="18"/>
      <c r="U248" s="18"/>
      <c r="V248" s="18"/>
      <c r="W248" s="18"/>
      <c r="X248" s="18"/>
      <c r="Y248" s="18"/>
      <c r="Z248" s="18"/>
    </row>
    <row r="249" ht="15.75" customHeight="1">
      <c r="A249" s="44"/>
      <c r="B249" s="44"/>
      <c r="C249" s="45"/>
      <c r="D249" s="44"/>
      <c r="E249" s="44"/>
      <c r="F249" s="44"/>
      <c r="G249" s="18"/>
      <c r="H249" s="18"/>
      <c r="I249" s="18"/>
      <c r="J249" s="18"/>
      <c r="K249" s="18"/>
      <c r="L249" s="18"/>
      <c r="M249" s="18"/>
      <c r="N249" s="18"/>
      <c r="O249" s="18"/>
      <c r="P249" s="18"/>
      <c r="Q249" s="18"/>
      <c r="R249" s="18"/>
      <c r="S249" s="18"/>
      <c r="T249" s="18"/>
      <c r="U249" s="18"/>
      <c r="V249" s="18"/>
      <c r="W249" s="18"/>
      <c r="X249" s="18"/>
      <c r="Y249" s="18"/>
      <c r="Z249" s="18"/>
    </row>
    <row r="250" ht="15.75" customHeight="1">
      <c r="A250" s="44"/>
      <c r="B250" s="44"/>
      <c r="C250" s="45"/>
      <c r="D250" s="44"/>
      <c r="E250" s="44"/>
      <c r="F250" s="44"/>
      <c r="G250" s="18"/>
      <c r="H250" s="18"/>
      <c r="I250" s="18"/>
      <c r="J250" s="18"/>
      <c r="K250" s="18"/>
      <c r="L250" s="18"/>
      <c r="M250" s="18"/>
      <c r="N250" s="18"/>
      <c r="O250" s="18"/>
      <c r="P250" s="18"/>
      <c r="Q250" s="18"/>
      <c r="R250" s="18"/>
      <c r="S250" s="18"/>
      <c r="T250" s="18"/>
      <c r="U250" s="18"/>
      <c r="V250" s="18"/>
      <c r="W250" s="18"/>
      <c r="X250" s="18"/>
      <c r="Y250" s="18"/>
      <c r="Z250" s="18"/>
    </row>
    <row r="251" ht="15.75" customHeight="1">
      <c r="A251" s="44"/>
      <c r="B251" s="44"/>
      <c r="C251" s="45"/>
      <c r="D251" s="44"/>
      <c r="E251" s="44"/>
      <c r="F251" s="44"/>
      <c r="G251" s="18"/>
      <c r="H251" s="18"/>
      <c r="I251" s="18"/>
      <c r="J251" s="18"/>
      <c r="K251" s="18"/>
      <c r="L251" s="18"/>
      <c r="M251" s="18"/>
      <c r="N251" s="18"/>
      <c r="O251" s="18"/>
      <c r="P251" s="18"/>
      <c r="Q251" s="18"/>
      <c r="R251" s="18"/>
      <c r="S251" s="18"/>
      <c r="T251" s="18"/>
      <c r="U251" s="18"/>
      <c r="V251" s="18"/>
      <c r="W251" s="18"/>
      <c r="X251" s="18"/>
      <c r="Y251" s="18"/>
      <c r="Z251" s="18"/>
    </row>
    <row r="252" ht="15.75" customHeight="1">
      <c r="A252" s="44"/>
      <c r="B252" s="44"/>
      <c r="C252" s="45"/>
      <c r="D252" s="44"/>
      <c r="E252" s="44"/>
      <c r="F252" s="44"/>
      <c r="G252" s="18"/>
      <c r="H252" s="18"/>
      <c r="I252" s="18"/>
      <c r="J252" s="18"/>
      <c r="K252" s="18"/>
      <c r="L252" s="18"/>
      <c r="M252" s="18"/>
      <c r="N252" s="18"/>
      <c r="O252" s="18"/>
      <c r="P252" s="18"/>
      <c r="Q252" s="18"/>
      <c r="R252" s="18"/>
      <c r="S252" s="18"/>
      <c r="T252" s="18"/>
      <c r="U252" s="18"/>
      <c r="V252" s="18"/>
      <c r="W252" s="18"/>
      <c r="X252" s="18"/>
      <c r="Y252" s="18"/>
      <c r="Z252" s="18"/>
    </row>
    <row r="253" ht="15.75" customHeight="1">
      <c r="A253" s="44"/>
      <c r="B253" s="44"/>
      <c r="C253" s="45"/>
      <c r="D253" s="44"/>
      <c r="E253" s="44"/>
      <c r="F253" s="44"/>
      <c r="G253" s="18"/>
      <c r="H253" s="18"/>
      <c r="I253" s="18"/>
      <c r="J253" s="18"/>
      <c r="K253" s="18"/>
      <c r="L253" s="18"/>
      <c r="M253" s="18"/>
      <c r="N253" s="18"/>
      <c r="O253" s="18"/>
      <c r="P253" s="18"/>
      <c r="Q253" s="18"/>
      <c r="R253" s="18"/>
      <c r="S253" s="18"/>
      <c r="T253" s="18"/>
      <c r="U253" s="18"/>
      <c r="V253" s="18"/>
      <c r="W253" s="18"/>
      <c r="X253" s="18"/>
      <c r="Y253" s="18"/>
      <c r="Z253" s="18"/>
    </row>
    <row r="254" ht="15.75" customHeight="1">
      <c r="A254" s="44"/>
      <c r="B254" s="44"/>
      <c r="C254" s="45"/>
      <c r="D254" s="44"/>
      <c r="E254" s="44"/>
      <c r="F254" s="44"/>
      <c r="G254" s="18"/>
      <c r="H254" s="18"/>
      <c r="I254" s="18"/>
      <c r="J254" s="18"/>
      <c r="K254" s="18"/>
      <c r="L254" s="18"/>
      <c r="M254" s="18"/>
      <c r="N254" s="18"/>
      <c r="O254" s="18"/>
      <c r="P254" s="18"/>
      <c r="Q254" s="18"/>
      <c r="R254" s="18"/>
      <c r="S254" s="18"/>
      <c r="T254" s="18"/>
      <c r="U254" s="18"/>
      <c r="V254" s="18"/>
      <c r="W254" s="18"/>
      <c r="X254" s="18"/>
      <c r="Y254" s="18"/>
      <c r="Z254" s="18"/>
    </row>
    <row r="255" ht="15.75" customHeight="1">
      <c r="A255" s="44"/>
      <c r="B255" s="44"/>
      <c r="C255" s="45"/>
      <c r="D255" s="44"/>
      <c r="E255" s="44"/>
      <c r="F255" s="44"/>
      <c r="G255" s="18"/>
      <c r="H255" s="18"/>
      <c r="I255" s="18"/>
      <c r="J255" s="18"/>
      <c r="K255" s="18"/>
      <c r="L255" s="18"/>
      <c r="M255" s="18"/>
      <c r="N255" s="18"/>
      <c r="O255" s="18"/>
      <c r="P255" s="18"/>
      <c r="Q255" s="18"/>
      <c r="R255" s="18"/>
      <c r="S255" s="18"/>
      <c r="T255" s="18"/>
      <c r="U255" s="18"/>
      <c r="V255" s="18"/>
      <c r="W255" s="18"/>
      <c r="X255" s="18"/>
      <c r="Y255" s="18"/>
      <c r="Z255" s="18"/>
    </row>
    <row r="256" ht="15.75" customHeight="1">
      <c r="A256" s="44"/>
      <c r="B256" s="44"/>
      <c r="C256" s="45"/>
      <c r="D256" s="44"/>
      <c r="E256" s="44"/>
      <c r="F256" s="44"/>
      <c r="G256" s="18"/>
      <c r="H256" s="18"/>
      <c r="I256" s="18"/>
      <c r="J256" s="18"/>
      <c r="K256" s="18"/>
      <c r="L256" s="18"/>
      <c r="M256" s="18"/>
      <c r="N256" s="18"/>
      <c r="O256" s="18"/>
      <c r="P256" s="18"/>
      <c r="Q256" s="18"/>
      <c r="R256" s="18"/>
      <c r="S256" s="18"/>
      <c r="T256" s="18"/>
      <c r="U256" s="18"/>
      <c r="V256" s="18"/>
      <c r="W256" s="18"/>
      <c r="X256" s="18"/>
      <c r="Y256" s="18"/>
      <c r="Z256" s="18"/>
    </row>
    <row r="257" ht="15.75" customHeight="1">
      <c r="A257" s="44"/>
      <c r="B257" s="44"/>
      <c r="C257" s="45"/>
      <c r="D257" s="44"/>
      <c r="E257" s="44"/>
      <c r="F257" s="44"/>
      <c r="G257" s="18"/>
      <c r="H257" s="18"/>
      <c r="I257" s="18"/>
      <c r="J257" s="18"/>
      <c r="K257" s="18"/>
      <c r="L257" s="18"/>
      <c r="M257" s="18"/>
      <c r="N257" s="18"/>
      <c r="O257" s="18"/>
      <c r="P257" s="18"/>
      <c r="Q257" s="18"/>
      <c r="R257" s="18"/>
      <c r="S257" s="18"/>
      <c r="T257" s="18"/>
      <c r="U257" s="18"/>
      <c r="V257" s="18"/>
      <c r="W257" s="18"/>
      <c r="X257" s="18"/>
      <c r="Y257" s="18"/>
      <c r="Z257" s="18"/>
    </row>
    <row r="258" ht="15.75" customHeight="1">
      <c r="A258" s="44"/>
      <c r="B258" s="44"/>
      <c r="C258" s="45"/>
      <c r="D258" s="44"/>
      <c r="E258" s="44"/>
      <c r="F258" s="44"/>
      <c r="G258" s="18"/>
      <c r="H258" s="18"/>
      <c r="I258" s="18"/>
      <c r="J258" s="18"/>
      <c r="K258" s="18"/>
      <c r="L258" s="18"/>
      <c r="M258" s="18"/>
      <c r="N258" s="18"/>
      <c r="O258" s="18"/>
      <c r="P258" s="18"/>
      <c r="Q258" s="18"/>
      <c r="R258" s="18"/>
      <c r="S258" s="18"/>
      <c r="T258" s="18"/>
      <c r="U258" s="18"/>
      <c r="V258" s="18"/>
      <c r="W258" s="18"/>
      <c r="X258" s="18"/>
      <c r="Y258" s="18"/>
      <c r="Z258" s="18"/>
    </row>
    <row r="259" ht="15.75" customHeight="1">
      <c r="A259" s="44"/>
      <c r="B259" s="44"/>
      <c r="C259" s="45"/>
      <c r="D259" s="44"/>
      <c r="E259" s="44"/>
      <c r="F259" s="44"/>
      <c r="G259" s="18"/>
      <c r="H259" s="18"/>
      <c r="I259" s="18"/>
      <c r="J259" s="18"/>
      <c r="K259" s="18"/>
      <c r="L259" s="18"/>
      <c r="M259" s="18"/>
      <c r="N259" s="18"/>
      <c r="O259" s="18"/>
      <c r="P259" s="18"/>
      <c r="Q259" s="18"/>
      <c r="R259" s="18"/>
      <c r="S259" s="18"/>
      <c r="T259" s="18"/>
      <c r="U259" s="18"/>
      <c r="V259" s="18"/>
      <c r="W259" s="18"/>
      <c r="X259" s="18"/>
      <c r="Y259" s="18"/>
      <c r="Z259" s="18"/>
    </row>
    <row r="260" ht="15.75" customHeight="1">
      <c r="A260" s="44"/>
      <c r="B260" s="44"/>
      <c r="C260" s="45"/>
      <c r="D260" s="44"/>
      <c r="E260" s="44"/>
      <c r="F260" s="44"/>
      <c r="G260" s="18"/>
      <c r="H260" s="18"/>
      <c r="I260" s="18"/>
      <c r="J260" s="18"/>
      <c r="K260" s="18"/>
      <c r="L260" s="18"/>
      <c r="M260" s="18"/>
      <c r="N260" s="18"/>
      <c r="O260" s="18"/>
      <c r="P260" s="18"/>
      <c r="Q260" s="18"/>
      <c r="R260" s="18"/>
      <c r="S260" s="18"/>
      <c r="T260" s="18"/>
      <c r="U260" s="18"/>
      <c r="V260" s="18"/>
      <c r="W260" s="18"/>
      <c r="X260" s="18"/>
      <c r="Y260" s="18"/>
      <c r="Z260" s="18"/>
    </row>
    <row r="261" ht="15.75" customHeight="1">
      <c r="A261" s="44"/>
      <c r="B261" s="44"/>
      <c r="C261" s="45"/>
      <c r="D261" s="44"/>
      <c r="E261" s="44"/>
      <c r="F261" s="44"/>
      <c r="G261" s="18"/>
      <c r="H261" s="18"/>
      <c r="I261" s="18"/>
      <c r="J261" s="18"/>
      <c r="K261" s="18"/>
      <c r="L261" s="18"/>
      <c r="M261" s="18"/>
      <c r="N261" s="18"/>
      <c r="O261" s="18"/>
      <c r="P261" s="18"/>
      <c r="Q261" s="18"/>
      <c r="R261" s="18"/>
      <c r="S261" s="18"/>
      <c r="T261" s="18"/>
      <c r="U261" s="18"/>
      <c r="V261" s="18"/>
      <c r="W261" s="18"/>
      <c r="X261" s="18"/>
      <c r="Y261" s="18"/>
      <c r="Z261" s="18"/>
    </row>
    <row r="262" ht="15.75" customHeight="1">
      <c r="A262" s="44"/>
      <c r="B262" s="44"/>
      <c r="C262" s="45"/>
      <c r="D262" s="44"/>
      <c r="E262" s="44"/>
      <c r="F262" s="44"/>
      <c r="G262" s="18"/>
      <c r="H262" s="18"/>
      <c r="I262" s="18"/>
      <c r="J262" s="18"/>
      <c r="K262" s="18"/>
      <c r="L262" s="18"/>
      <c r="M262" s="18"/>
      <c r="N262" s="18"/>
      <c r="O262" s="18"/>
      <c r="P262" s="18"/>
      <c r="Q262" s="18"/>
      <c r="R262" s="18"/>
      <c r="S262" s="18"/>
      <c r="T262" s="18"/>
      <c r="U262" s="18"/>
      <c r="V262" s="18"/>
      <c r="W262" s="18"/>
      <c r="X262" s="18"/>
      <c r="Y262" s="18"/>
      <c r="Z262" s="18"/>
    </row>
    <row r="263" ht="15.75" customHeight="1">
      <c r="A263" s="44"/>
      <c r="B263" s="44"/>
      <c r="C263" s="45"/>
      <c r="D263" s="44"/>
      <c r="E263" s="44"/>
      <c r="F263" s="44"/>
      <c r="G263" s="18"/>
      <c r="H263" s="18"/>
      <c r="I263" s="18"/>
      <c r="J263" s="18"/>
      <c r="K263" s="18"/>
      <c r="L263" s="18"/>
      <c r="M263" s="18"/>
      <c r="N263" s="18"/>
      <c r="O263" s="18"/>
      <c r="P263" s="18"/>
      <c r="Q263" s="18"/>
      <c r="R263" s="18"/>
      <c r="S263" s="18"/>
      <c r="T263" s="18"/>
      <c r="U263" s="18"/>
      <c r="V263" s="18"/>
      <c r="W263" s="18"/>
      <c r="X263" s="18"/>
      <c r="Y263" s="18"/>
      <c r="Z263" s="18"/>
    </row>
    <row r="264" ht="15.75" customHeight="1">
      <c r="A264" s="44"/>
      <c r="B264" s="44"/>
      <c r="C264" s="45"/>
      <c r="D264" s="44"/>
      <c r="E264" s="44"/>
      <c r="F264" s="44"/>
      <c r="G264" s="18"/>
      <c r="H264" s="18"/>
      <c r="I264" s="18"/>
      <c r="J264" s="18"/>
      <c r="K264" s="18"/>
      <c r="L264" s="18"/>
      <c r="M264" s="18"/>
      <c r="N264" s="18"/>
      <c r="O264" s="18"/>
      <c r="P264" s="18"/>
      <c r="Q264" s="18"/>
      <c r="R264" s="18"/>
      <c r="S264" s="18"/>
      <c r="T264" s="18"/>
      <c r="U264" s="18"/>
      <c r="V264" s="18"/>
      <c r="W264" s="18"/>
      <c r="X264" s="18"/>
      <c r="Y264" s="18"/>
      <c r="Z264" s="18"/>
    </row>
    <row r="265" ht="15.75" customHeight="1">
      <c r="A265" s="44"/>
      <c r="B265" s="44"/>
      <c r="C265" s="45"/>
      <c r="D265" s="44"/>
      <c r="E265" s="44"/>
      <c r="F265" s="44"/>
      <c r="G265" s="18"/>
      <c r="H265" s="18"/>
      <c r="I265" s="18"/>
      <c r="J265" s="18"/>
      <c r="K265" s="18"/>
      <c r="L265" s="18"/>
      <c r="M265" s="18"/>
      <c r="N265" s="18"/>
      <c r="O265" s="18"/>
      <c r="P265" s="18"/>
      <c r="Q265" s="18"/>
      <c r="R265" s="18"/>
      <c r="S265" s="18"/>
      <c r="T265" s="18"/>
      <c r="U265" s="18"/>
      <c r="V265" s="18"/>
      <c r="W265" s="18"/>
      <c r="X265" s="18"/>
      <c r="Y265" s="18"/>
      <c r="Z265" s="18"/>
    </row>
    <row r="266" ht="15.75" customHeight="1">
      <c r="A266" s="44"/>
      <c r="B266" s="44"/>
      <c r="C266" s="45"/>
      <c r="D266" s="44"/>
      <c r="E266" s="44"/>
      <c r="F266" s="44"/>
      <c r="G266" s="18"/>
      <c r="H266" s="18"/>
      <c r="I266" s="18"/>
      <c r="J266" s="18"/>
      <c r="K266" s="18"/>
      <c r="L266" s="18"/>
      <c r="M266" s="18"/>
      <c r="N266" s="18"/>
      <c r="O266" s="18"/>
      <c r="P266" s="18"/>
      <c r="Q266" s="18"/>
      <c r="R266" s="18"/>
      <c r="S266" s="18"/>
      <c r="T266" s="18"/>
      <c r="U266" s="18"/>
      <c r="V266" s="18"/>
      <c r="W266" s="18"/>
      <c r="X266" s="18"/>
      <c r="Y266" s="18"/>
      <c r="Z266" s="18"/>
    </row>
    <row r="267" ht="15.75" customHeight="1">
      <c r="A267" s="44"/>
      <c r="B267" s="44"/>
      <c r="C267" s="45"/>
      <c r="D267" s="44"/>
      <c r="E267" s="44"/>
      <c r="F267" s="44"/>
      <c r="G267" s="18"/>
      <c r="H267" s="18"/>
      <c r="I267" s="18"/>
      <c r="J267" s="18"/>
      <c r="K267" s="18"/>
      <c r="L267" s="18"/>
      <c r="M267" s="18"/>
      <c r="N267" s="18"/>
      <c r="O267" s="18"/>
      <c r="P267" s="18"/>
      <c r="Q267" s="18"/>
      <c r="R267" s="18"/>
      <c r="S267" s="18"/>
      <c r="T267" s="18"/>
      <c r="U267" s="18"/>
      <c r="V267" s="18"/>
      <c r="W267" s="18"/>
      <c r="X267" s="18"/>
      <c r="Y267" s="18"/>
      <c r="Z267" s="18"/>
    </row>
    <row r="268" ht="15.75" customHeight="1">
      <c r="A268" s="44"/>
      <c r="B268" s="44"/>
      <c r="C268" s="45"/>
      <c r="D268" s="44"/>
      <c r="E268" s="44"/>
      <c r="F268" s="44"/>
      <c r="G268" s="18"/>
      <c r="H268" s="18"/>
      <c r="I268" s="18"/>
      <c r="J268" s="18"/>
      <c r="K268" s="18"/>
      <c r="L268" s="18"/>
      <c r="M268" s="18"/>
      <c r="N268" s="18"/>
      <c r="O268" s="18"/>
      <c r="P268" s="18"/>
      <c r="Q268" s="18"/>
      <c r="R268" s="18"/>
      <c r="S268" s="18"/>
      <c r="T268" s="18"/>
      <c r="U268" s="18"/>
      <c r="V268" s="18"/>
      <c r="W268" s="18"/>
      <c r="X268" s="18"/>
      <c r="Y268" s="18"/>
      <c r="Z268" s="18"/>
    </row>
    <row r="269" ht="15.75" customHeight="1">
      <c r="A269" s="44"/>
      <c r="B269" s="44"/>
      <c r="C269" s="45"/>
      <c r="D269" s="44"/>
      <c r="E269" s="44"/>
      <c r="F269" s="44"/>
      <c r="G269" s="18"/>
      <c r="H269" s="18"/>
      <c r="I269" s="18"/>
      <c r="J269" s="18"/>
      <c r="K269" s="18"/>
      <c r="L269" s="18"/>
      <c r="M269" s="18"/>
      <c r="N269" s="18"/>
      <c r="O269" s="18"/>
      <c r="P269" s="18"/>
      <c r="Q269" s="18"/>
      <c r="R269" s="18"/>
      <c r="S269" s="18"/>
      <c r="T269" s="18"/>
      <c r="U269" s="18"/>
      <c r="V269" s="18"/>
      <c r="W269" s="18"/>
      <c r="X269" s="18"/>
      <c r="Y269" s="18"/>
      <c r="Z269" s="18"/>
    </row>
    <row r="270" ht="15.75" customHeight="1">
      <c r="A270" s="44"/>
      <c r="B270" s="44"/>
      <c r="C270" s="45"/>
      <c r="D270" s="44"/>
      <c r="E270" s="44"/>
      <c r="F270" s="44"/>
      <c r="G270" s="18"/>
      <c r="H270" s="18"/>
      <c r="I270" s="18"/>
      <c r="J270" s="18"/>
      <c r="K270" s="18"/>
      <c r="L270" s="18"/>
      <c r="M270" s="18"/>
      <c r="N270" s="18"/>
      <c r="O270" s="18"/>
      <c r="P270" s="18"/>
      <c r="Q270" s="18"/>
      <c r="R270" s="18"/>
      <c r="S270" s="18"/>
      <c r="T270" s="18"/>
      <c r="U270" s="18"/>
      <c r="V270" s="18"/>
      <c r="W270" s="18"/>
      <c r="X270" s="18"/>
      <c r="Y270" s="18"/>
      <c r="Z270" s="18"/>
    </row>
    <row r="271" ht="15.75" customHeight="1">
      <c r="A271" s="44"/>
      <c r="B271" s="44"/>
      <c r="C271" s="45"/>
      <c r="D271" s="44"/>
      <c r="E271" s="44"/>
      <c r="F271" s="44"/>
      <c r="G271" s="18"/>
      <c r="H271" s="18"/>
      <c r="I271" s="18"/>
      <c r="J271" s="18"/>
      <c r="K271" s="18"/>
      <c r="L271" s="18"/>
      <c r="M271" s="18"/>
      <c r="N271" s="18"/>
      <c r="O271" s="18"/>
      <c r="P271" s="18"/>
      <c r="Q271" s="18"/>
      <c r="R271" s="18"/>
      <c r="S271" s="18"/>
      <c r="T271" s="18"/>
      <c r="U271" s="18"/>
      <c r="V271" s="18"/>
      <c r="W271" s="18"/>
      <c r="X271" s="18"/>
      <c r="Y271" s="18"/>
      <c r="Z271" s="18"/>
    </row>
    <row r="272" ht="15.75" customHeight="1">
      <c r="A272" s="44"/>
      <c r="B272" s="44"/>
      <c r="C272" s="45"/>
      <c r="D272" s="44"/>
      <c r="E272" s="44"/>
      <c r="F272" s="44"/>
      <c r="G272" s="18"/>
      <c r="H272" s="18"/>
      <c r="I272" s="18"/>
      <c r="J272" s="18"/>
      <c r="K272" s="18"/>
      <c r="L272" s="18"/>
      <c r="M272" s="18"/>
      <c r="N272" s="18"/>
      <c r="O272" s="18"/>
      <c r="P272" s="18"/>
      <c r="Q272" s="18"/>
      <c r="R272" s="18"/>
      <c r="S272" s="18"/>
      <c r="T272" s="18"/>
      <c r="U272" s="18"/>
      <c r="V272" s="18"/>
      <c r="W272" s="18"/>
      <c r="X272" s="18"/>
      <c r="Y272" s="18"/>
      <c r="Z272" s="18"/>
    </row>
    <row r="273" ht="15.75" customHeight="1">
      <c r="A273" s="44"/>
      <c r="B273" s="44"/>
      <c r="C273" s="45"/>
      <c r="D273" s="44"/>
      <c r="E273" s="44"/>
      <c r="F273" s="44"/>
      <c r="G273" s="18"/>
      <c r="H273" s="18"/>
      <c r="I273" s="18"/>
      <c r="J273" s="18"/>
      <c r="K273" s="18"/>
      <c r="L273" s="18"/>
      <c r="M273" s="18"/>
      <c r="N273" s="18"/>
      <c r="O273" s="18"/>
      <c r="P273" s="18"/>
      <c r="Q273" s="18"/>
      <c r="R273" s="18"/>
      <c r="S273" s="18"/>
      <c r="T273" s="18"/>
      <c r="U273" s="18"/>
      <c r="V273" s="18"/>
      <c r="W273" s="18"/>
      <c r="X273" s="18"/>
      <c r="Y273" s="18"/>
      <c r="Z273" s="18"/>
    </row>
    <row r="274" ht="15.75" customHeight="1">
      <c r="A274" s="44"/>
      <c r="B274" s="44"/>
      <c r="C274" s="45"/>
      <c r="D274" s="44"/>
      <c r="E274" s="44"/>
      <c r="F274" s="44"/>
      <c r="G274" s="18"/>
      <c r="H274" s="18"/>
      <c r="I274" s="18"/>
      <c r="J274" s="18"/>
      <c r="K274" s="18"/>
      <c r="L274" s="18"/>
      <c r="M274" s="18"/>
      <c r="N274" s="18"/>
      <c r="O274" s="18"/>
      <c r="P274" s="18"/>
      <c r="Q274" s="18"/>
      <c r="R274" s="18"/>
      <c r="S274" s="18"/>
      <c r="T274" s="18"/>
      <c r="U274" s="18"/>
      <c r="V274" s="18"/>
      <c r="W274" s="18"/>
      <c r="X274" s="18"/>
      <c r="Y274" s="18"/>
      <c r="Z274" s="18"/>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4">
    <mergeCell ref="B2:F2"/>
    <mergeCell ref="B3:F3"/>
    <mergeCell ref="B4:F4"/>
    <mergeCell ref="B6:F6"/>
  </mergeCells>
  <hyperlinks>
    <hyperlink r:id="rId1" ref="D24"/>
    <hyperlink r:id="rId2" ref="D50"/>
  </hyperlinks>
  <printOptions/>
  <pageMargins bottom="0.75" footer="0.0" header="0.0" left="0.7" right="0.7" top="0.75"/>
  <pageSetup orientation="portrait"/>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1.43"/>
    <col customWidth="1" min="2" max="2" width="14.43"/>
    <col customWidth="1" min="3" max="3" width="24.14"/>
    <col customWidth="1" min="4" max="4" width="29.86"/>
    <col customWidth="1" min="5" max="5" width="27.57"/>
    <col customWidth="1" min="6" max="6" width="18.0"/>
    <col customWidth="1" min="7" max="7" width="29.71"/>
  </cols>
  <sheetData>
    <row r="1" ht="15.0" customHeight="1">
      <c r="A1" s="16"/>
      <c r="B1" s="17"/>
      <c r="C1" s="17"/>
      <c r="D1" s="17"/>
      <c r="E1" s="17"/>
      <c r="F1" s="17"/>
      <c r="G1" s="46"/>
    </row>
    <row r="2" ht="15.0" customHeight="1">
      <c r="A2" s="16"/>
      <c r="B2" s="17" t="s">
        <v>150</v>
      </c>
      <c r="G2" s="46"/>
    </row>
    <row r="3" ht="15.0" customHeight="1">
      <c r="A3" s="16"/>
      <c r="B3" s="19" t="s">
        <v>151</v>
      </c>
      <c r="G3" s="46"/>
    </row>
    <row r="4" ht="15.0" customHeight="1">
      <c r="A4" s="16"/>
      <c r="B4" s="20" t="s">
        <v>152</v>
      </c>
      <c r="G4" s="46"/>
    </row>
    <row r="5" ht="15.0" customHeight="1">
      <c r="A5" s="16"/>
      <c r="B5" s="20"/>
      <c r="G5" s="46"/>
    </row>
    <row r="6" ht="15.0" customHeight="1">
      <c r="B6" s="21"/>
      <c r="G6" s="46"/>
    </row>
    <row r="7" ht="30.0" customHeight="1">
      <c r="A7" s="22" t="s">
        <v>0</v>
      </c>
      <c r="B7" s="22" t="s">
        <v>1</v>
      </c>
      <c r="C7" s="23" t="s">
        <v>2</v>
      </c>
      <c r="D7" s="24" t="s">
        <v>153</v>
      </c>
      <c r="E7" s="24" t="s">
        <v>154</v>
      </c>
      <c r="F7" s="25" t="s">
        <v>155</v>
      </c>
      <c r="G7" s="47" t="s">
        <v>276</v>
      </c>
      <c r="H7" s="27"/>
      <c r="I7" s="27"/>
      <c r="J7" s="27"/>
      <c r="K7" s="27"/>
      <c r="L7" s="27"/>
      <c r="M7" s="27"/>
      <c r="N7" s="27"/>
      <c r="O7" s="27"/>
      <c r="P7" s="27"/>
      <c r="Q7" s="27"/>
      <c r="R7" s="27"/>
      <c r="S7" s="27"/>
      <c r="T7" s="27"/>
      <c r="U7" s="27"/>
      <c r="V7" s="27"/>
      <c r="W7" s="27"/>
      <c r="X7" s="27"/>
      <c r="Y7" s="27"/>
    </row>
    <row r="8" ht="45.0" customHeight="1">
      <c r="A8" s="28">
        <v>1.0</v>
      </c>
      <c r="B8" s="29" t="s">
        <v>16</v>
      </c>
      <c r="C8" s="30" t="s">
        <v>17</v>
      </c>
      <c r="D8" s="31" t="s">
        <v>158</v>
      </c>
      <c r="E8" s="32" t="s">
        <v>159</v>
      </c>
      <c r="F8" s="33">
        <v>40000.0</v>
      </c>
      <c r="G8" s="48" t="s">
        <v>277</v>
      </c>
    </row>
    <row r="9">
      <c r="A9" s="28">
        <v>2.0</v>
      </c>
      <c r="B9" s="29" t="s">
        <v>18</v>
      </c>
      <c r="C9" s="30" t="s">
        <v>19</v>
      </c>
      <c r="D9" s="31" t="s">
        <v>162</v>
      </c>
      <c r="E9" s="35" t="s">
        <v>163</v>
      </c>
      <c r="F9" s="33">
        <v>49627.0</v>
      </c>
      <c r="G9" s="48" t="s">
        <v>278</v>
      </c>
    </row>
    <row r="10">
      <c r="A10" s="28">
        <v>3.0</v>
      </c>
      <c r="B10" s="29" t="s">
        <v>20</v>
      </c>
      <c r="C10" s="30" t="s">
        <v>21</v>
      </c>
      <c r="D10" s="31" t="s">
        <v>166</v>
      </c>
      <c r="E10" s="35" t="s">
        <v>167</v>
      </c>
      <c r="F10" s="36" t="s">
        <v>168</v>
      </c>
      <c r="G10" s="48" t="s">
        <v>279</v>
      </c>
    </row>
    <row r="11">
      <c r="A11" s="37">
        <v>4.0</v>
      </c>
      <c r="B11" s="38" t="s">
        <v>22</v>
      </c>
      <c r="C11" s="39" t="s">
        <v>23</v>
      </c>
      <c r="D11" s="31" t="s">
        <v>169</v>
      </c>
      <c r="E11" s="35" t="s">
        <v>170</v>
      </c>
      <c r="F11" s="33">
        <v>30000.0</v>
      </c>
      <c r="G11" s="48" t="s">
        <v>280</v>
      </c>
    </row>
    <row r="12">
      <c r="A12" s="28">
        <v>5.0</v>
      </c>
      <c r="B12" s="29" t="s">
        <v>24</v>
      </c>
      <c r="C12" s="30" t="s">
        <v>25</v>
      </c>
      <c r="D12" s="31" t="s">
        <v>173</v>
      </c>
      <c r="E12" s="35" t="s">
        <v>174</v>
      </c>
      <c r="F12" s="33">
        <v>50000.0</v>
      </c>
      <c r="G12" s="48" t="s">
        <v>281</v>
      </c>
    </row>
    <row r="13">
      <c r="A13" s="28">
        <v>6.0</v>
      </c>
      <c r="B13" s="29" t="s">
        <v>26</v>
      </c>
      <c r="C13" s="30" t="s">
        <v>27</v>
      </c>
      <c r="D13" s="31" t="s">
        <v>175</v>
      </c>
      <c r="E13" s="35" t="s">
        <v>176</v>
      </c>
      <c r="F13" s="36" t="s">
        <v>168</v>
      </c>
      <c r="G13" s="48" t="s">
        <v>282</v>
      </c>
    </row>
    <row r="14">
      <c r="A14" s="28">
        <v>7.0</v>
      </c>
      <c r="B14" s="29" t="s">
        <v>28</v>
      </c>
      <c r="C14" s="30" t="s">
        <v>29</v>
      </c>
      <c r="D14" s="31" t="s">
        <v>179</v>
      </c>
      <c r="E14" s="35" t="s">
        <v>180</v>
      </c>
      <c r="F14" s="36" t="s">
        <v>168</v>
      </c>
      <c r="G14" s="48" t="s">
        <v>283</v>
      </c>
    </row>
    <row r="15">
      <c r="A15" s="28">
        <v>8.0</v>
      </c>
      <c r="B15" s="29" t="s">
        <v>30</v>
      </c>
      <c r="C15" s="30" t="s">
        <v>31</v>
      </c>
      <c r="D15" s="31" t="s">
        <v>183</v>
      </c>
      <c r="E15" s="35" t="s">
        <v>184</v>
      </c>
      <c r="F15" s="33">
        <v>15000.0</v>
      </c>
      <c r="G15" s="48" t="s">
        <v>284</v>
      </c>
    </row>
    <row r="16" ht="35.25" customHeight="1">
      <c r="A16" s="28">
        <v>9.0</v>
      </c>
      <c r="B16" s="29" t="s">
        <v>32</v>
      </c>
      <c r="C16" s="30" t="s">
        <v>33</v>
      </c>
      <c r="D16" s="31" t="s">
        <v>186</v>
      </c>
      <c r="E16" s="35" t="s">
        <v>187</v>
      </c>
      <c r="F16" s="33">
        <v>10000.0</v>
      </c>
      <c r="G16" s="48" t="s">
        <v>285</v>
      </c>
    </row>
    <row r="17">
      <c r="A17" s="28">
        <v>10.0</v>
      </c>
      <c r="B17" s="29" t="s">
        <v>34</v>
      </c>
      <c r="C17" s="30" t="s">
        <v>35</v>
      </c>
      <c r="D17" s="31" t="s">
        <v>188</v>
      </c>
      <c r="E17" s="35" t="s">
        <v>189</v>
      </c>
      <c r="F17" s="33">
        <v>12000.0</v>
      </c>
      <c r="G17" s="48" t="s">
        <v>286</v>
      </c>
    </row>
    <row r="18">
      <c r="A18" s="28">
        <v>11.0</v>
      </c>
      <c r="B18" s="29" t="s">
        <v>36</v>
      </c>
      <c r="C18" s="30" t="s">
        <v>37</v>
      </c>
      <c r="D18" s="31" t="s">
        <v>191</v>
      </c>
      <c r="E18" s="35" t="s">
        <v>192</v>
      </c>
      <c r="F18" s="36">
        <v>10000.0</v>
      </c>
      <c r="G18" s="48" t="s">
        <v>287</v>
      </c>
    </row>
    <row r="19">
      <c r="A19" s="28">
        <v>12.0</v>
      </c>
      <c r="B19" s="29" t="s">
        <v>38</v>
      </c>
      <c r="C19" s="30" t="s">
        <v>39</v>
      </c>
      <c r="D19" s="31" t="s">
        <v>194</v>
      </c>
      <c r="E19" s="35" t="s">
        <v>195</v>
      </c>
      <c r="F19" s="33">
        <v>35000.0</v>
      </c>
      <c r="G19" s="48" t="s">
        <v>288</v>
      </c>
    </row>
    <row r="20">
      <c r="A20" s="28">
        <v>13.0</v>
      </c>
      <c r="B20" s="29" t="s">
        <v>40</v>
      </c>
      <c r="C20" s="30" t="s">
        <v>41</v>
      </c>
      <c r="D20" s="31" t="s">
        <v>196</v>
      </c>
      <c r="E20" s="5" t="s">
        <v>197</v>
      </c>
      <c r="F20" s="36"/>
      <c r="G20" s="48"/>
    </row>
    <row r="21" ht="15.75" customHeight="1">
      <c r="A21" s="28">
        <v>14.0</v>
      </c>
      <c r="B21" s="29" t="s">
        <v>42</v>
      </c>
      <c r="C21" s="30" t="s">
        <v>43</v>
      </c>
      <c r="D21" s="40" t="s">
        <v>199</v>
      </c>
      <c r="E21" s="35" t="s">
        <v>200</v>
      </c>
      <c r="F21" s="36" t="s">
        <v>168</v>
      </c>
      <c r="G21" s="48" t="s">
        <v>289</v>
      </c>
    </row>
    <row r="22" ht="15.75" customHeight="1">
      <c r="A22" s="28">
        <v>15.0</v>
      </c>
      <c r="B22" s="29" t="s">
        <v>44</v>
      </c>
      <c r="C22" s="30" t="s">
        <v>45</v>
      </c>
      <c r="D22" s="40" t="s">
        <v>199</v>
      </c>
      <c r="E22" s="35" t="s">
        <v>202</v>
      </c>
      <c r="F22" s="36" t="s">
        <v>168</v>
      </c>
      <c r="G22" s="48" t="s">
        <v>290</v>
      </c>
    </row>
    <row r="23" ht="15.75" customHeight="1">
      <c r="A23" s="28">
        <v>16.0</v>
      </c>
      <c r="B23" s="29" t="s">
        <v>46</v>
      </c>
      <c r="C23" s="30" t="s">
        <v>47</v>
      </c>
      <c r="D23" s="40" t="s">
        <v>199</v>
      </c>
      <c r="E23" s="35" t="s">
        <v>203</v>
      </c>
      <c r="F23" s="36" t="s">
        <v>168</v>
      </c>
      <c r="G23" s="48" t="s">
        <v>290</v>
      </c>
    </row>
    <row r="24" ht="15.75" customHeight="1">
      <c r="A24" s="28">
        <v>17.0</v>
      </c>
      <c r="B24" s="29" t="s">
        <v>48</v>
      </c>
      <c r="C24" s="30" t="s">
        <v>49</v>
      </c>
      <c r="D24" s="41" t="s">
        <v>204</v>
      </c>
      <c r="E24" s="35" t="s">
        <v>205</v>
      </c>
      <c r="F24" s="33">
        <v>40000.0</v>
      </c>
      <c r="G24" s="48" t="s">
        <v>291</v>
      </c>
    </row>
    <row r="25" ht="15.75" customHeight="1">
      <c r="A25" s="28">
        <v>18.0</v>
      </c>
      <c r="B25" s="29" t="s">
        <v>50</v>
      </c>
      <c r="C25" s="30" t="s">
        <v>51</v>
      </c>
      <c r="D25" s="31" t="s">
        <v>206</v>
      </c>
      <c r="E25" s="35" t="s">
        <v>207</v>
      </c>
      <c r="F25" s="33">
        <v>35000.0</v>
      </c>
      <c r="G25" s="48" t="s">
        <v>292</v>
      </c>
    </row>
    <row r="26" ht="15.75" customHeight="1">
      <c r="A26" s="28">
        <v>19.0</v>
      </c>
      <c r="B26" s="29" t="s">
        <v>52</v>
      </c>
      <c r="C26" s="30" t="s">
        <v>53</v>
      </c>
      <c r="D26" s="40" t="s">
        <v>199</v>
      </c>
      <c r="E26" s="35" t="s">
        <v>200</v>
      </c>
      <c r="F26" s="33" t="s">
        <v>168</v>
      </c>
      <c r="G26" s="48" t="s">
        <v>293</v>
      </c>
    </row>
    <row r="27" ht="15.75" customHeight="1">
      <c r="A27" s="28">
        <v>20.0</v>
      </c>
      <c r="B27" s="29" t="s">
        <v>54</v>
      </c>
      <c r="C27" s="30" t="s">
        <v>55</v>
      </c>
      <c r="D27" s="40" t="s">
        <v>199</v>
      </c>
      <c r="E27" s="35" t="s">
        <v>200</v>
      </c>
      <c r="F27" s="36" t="s">
        <v>168</v>
      </c>
      <c r="G27" s="48" t="s">
        <v>294</v>
      </c>
    </row>
    <row r="28" ht="15.75" customHeight="1">
      <c r="A28" s="28">
        <v>21.0</v>
      </c>
      <c r="B28" s="29" t="s">
        <v>56</v>
      </c>
      <c r="C28" s="30" t="s">
        <v>57</v>
      </c>
      <c r="D28" s="31" t="s">
        <v>208</v>
      </c>
      <c r="E28" s="35" t="s">
        <v>209</v>
      </c>
      <c r="F28" s="33">
        <v>25000.0</v>
      </c>
      <c r="G28" s="48" t="s">
        <v>295</v>
      </c>
    </row>
    <row r="29" ht="15.75" customHeight="1">
      <c r="A29" s="28">
        <v>22.0</v>
      </c>
      <c r="B29" s="29" t="s">
        <v>58</v>
      </c>
      <c r="C29" s="30" t="s">
        <v>59</v>
      </c>
      <c r="D29" s="31" t="s">
        <v>211</v>
      </c>
      <c r="E29" s="42" t="s">
        <v>212</v>
      </c>
      <c r="F29" s="33">
        <v>20000.0</v>
      </c>
      <c r="G29" s="48" t="s">
        <v>296</v>
      </c>
    </row>
    <row r="30" ht="15.75" customHeight="1">
      <c r="A30" s="28">
        <v>23.0</v>
      </c>
      <c r="B30" s="29" t="s">
        <v>60</v>
      </c>
      <c r="C30" s="30" t="s">
        <v>61</v>
      </c>
      <c r="D30" s="31" t="s">
        <v>213</v>
      </c>
      <c r="E30" s="42" t="s">
        <v>214</v>
      </c>
      <c r="F30" s="36" t="s">
        <v>168</v>
      </c>
      <c r="G30" s="48" t="s">
        <v>297</v>
      </c>
    </row>
    <row r="31" ht="15.75" customHeight="1">
      <c r="A31" s="28">
        <v>24.0</v>
      </c>
      <c r="B31" s="29" t="s">
        <v>62</v>
      </c>
      <c r="C31" s="30" t="s">
        <v>63</v>
      </c>
      <c r="D31" s="40" t="s">
        <v>199</v>
      </c>
      <c r="E31" s="35" t="s">
        <v>215</v>
      </c>
      <c r="F31" s="36" t="s">
        <v>168</v>
      </c>
      <c r="G31" s="48" t="s">
        <v>290</v>
      </c>
    </row>
    <row r="32" ht="15.75" customHeight="1">
      <c r="A32" s="28">
        <v>25.0</v>
      </c>
      <c r="B32" s="29" t="s">
        <v>64</v>
      </c>
      <c r="C32" s="30" t="s">
        <v>65</v>
      </c>
      <c r="D32" s="31" t="s">
        <v>216</v>
      </c>
      <c r="E32" s="35" t="s">
        <v>217</v>
      </c>
      <c r="F32" s="33">
        <v>12000.0</v>
      </c>
      <c r="G32" s="48" t="s">
        <v>298</v>
      </c>
    </row>
    <row r="33" ht="15.75" customHeight="1">
      <c r="A33" s="28">
        <v>26.0</v>
      </c>
      <c r="B33" s="29" t="s">
        <v>66</v>
      </c>
      <c r="C33" s="30" t="s">
        <v>67</v>
      </c>
      <c r="D33" s="31" t="s">
        <v>218</v>
      </c>
      <c r="E33" s="35" t="s">
        <v>219</v>
      </c>
      <c r="F33" s="33">
        <v>30000.0</v>
      </c>
      <c r="G33" s="48" t="s">
        <v>299</v>
      </c>
    </row>
    <row r="34" ht="15.75" customHeight="1">
      <c r="A34" s="28">
        <v>27.0</v>
      </c>
      <c r="B34" s="29" t="s">
        <v>68</v>
      </c>
      <c r="C34" s="30" t="s">
        <v>69</v>
      </c>
      <c r="D34" s="40" t="s">
        <v>199</v>
      </c>
      <c r="E34" s="35" t="s">
        <v>215</v>
      </c>
      <c r="F34" s="36" t="s">
        <v>168</v>
      </c>
      <c r="G34" s="48" t="s">
        <v>298</v>
      </c>
    </row>
    <row r="35" ht="15.75" customHeight="1">
      <c r="A35" s="28">
        <v>28.0</v>
      </c>
      <c r="B35" s="29" t="s">
        <v>70</v>
      </c>
      <c r="C35" s="30" t="s">
        <v>71</v>
      </c>
      <c r="D35" s="40" t="s">
        <v>199</v>
      </c>
      <c r="E35" s="35" t="s">
        <v>215</v>
      </c>
      <c r="F35" s="36" t="s">
        <v>168</v>
      </c>
      <c r="G35" s="48" t="s">
        <v>289</v>
      </c>
    </row>
    <row r="36" ht="15.75" customHeight="1">
      <c r="A36" s="37">
        <v>29.0</v>
      </c>
      <c r="B36" s="38" t="s">
        <v>72</v>
      </c>
      <c r="C36" s="39" t="s">
        <v>73</v>
      </c>
      <c r="D36" s="31" t="s">
        <v>169</v>
      </c>
      <c r="E36" s="35" t="s">
        <v>170</v>
      </c>
      <c r="F36" s="33">
        <v>30000.0</v>
      </c>
      <c r="G36" s="48" t="s">
        <v>280</v>
      </c>
    </row>
    <row r="37" ht="15.75" customHeight="1">
      <c r="A37" s="28">
        <v>30.0</v>
      </c>
      <c r="B37" s="29" t="s">
        <v>74</v>
      </c>
      <c r="C37" s="30" t="s">
        <v>75</v>
      </c>
      <c r="D37" s="31" t="s">
        <v>221</v>
      </c>
      <c r="E37" s="35" t="s">
        <v>222</v>
      </c>
      <c r="F37" s="33">
        <v>16000.0</v>
      </c>
      <c r="G37" s="48" t="s">
        <v>300</v>
      </c>
    </row>
    <row r="38" ht="15.75" customHeight="1">
      <c r="A38" s="28">
        <v>31.0</v>
      </c>
      <c r="B38" s="29" t="s">
        <v>76</v>
      </c>
      <c r="C38" s="30" t="s">
        <v>77</v>
      </c>
      <c r="D38" s="31" t="s">
        <v>224</v>
      </c>
      <c r="E38" s="35" t="s">
        <v>225</v>
      </c>
      <c r="F38" s="33">
        <v>20000.0</v>
      </c>
      <c r="G38" s="48" t="s">
        <v>301</v>
      </c>
    </row>
    <row r="39" ht="15.75" customHeight="1">
      <c r="A39" s="28">
        <v>32.0</v>
      </c>
      <c r="B39" s="29" t="s">
        <v>78</v>
      </c>
      <c r="C39" s="30" t="s">
        <v>79</v>
      </c>
      <c r="D39" s="40" t="s">
        <v>199</v>
      </c>
      <c r="E39" s="35" t="s">
        <v>226</v>
      </c>
      <c r="F39" s="36" t="s">
        <v>168</v>
      </c>
      <c r="G39" s="48" t="s">
        <v>301</v>
      </c>
    </row>
    <row r="40" ht="15.75" customHeight="1">
      <c r="A40" s="28">
        <v>33.0</v>
      </c>
      <c r="B40" s="29" t="s">
        <v>80</v>
      </c>
      <c r="C40" s="30" t="s">
        <v>81</v>
      </c>
      <c r="D40" s="40" t="s">
        <v>199</v>
      </c>
      <c r="E40" s="35" t="s">
        <v>215</v>
      </c>
      <c r="F40" s="36" t="s">
        <v>168</v>
      </c>
      <c r="G40" s="48" t="s">
        <v>290</v>
      </c>
    </row>
    <row r="41" ht="15.75" customHeight="1">
      <c r="A41" s="28">
        <v>34.0</v>
      </c>
      <c r="B41" s="29" t="s">
        <v>82</v>
      </c>
      <c r="C41" s="30" t="s">
        <v>83</v>
      </c>
      <c r="D41" s="31" t="s">
        <v>228</v>
      </c>
      <c r="E41" s="35" t="s">
        <v>229</v>
      </c>
      <c r="F41" s="33">
        <v>20000.0</v>
      </c>
      <c r="G41" s="48" t="s">
        <v>302</v>
      </c>
    </row>
    <row r="42" ht="15.75" customHeight="1">
      <c r="A42" s="28">
        <v>35.0</v>
      </c>
      <c r="B42" s="29" t="s">
        <v>84</v>
      </c>
      <c r="C42" s="30" t="s">
        <v>85</v>
      </c>
      <c r="D42" s="40" t="s">
        <v>199</v>
      </c>
      <c r="E42" s="35" t="s">
        <v>230</v>
      </c>
      <c r="F42" s="36" t="s">
        <v>168</v>
      </c>
      <c r="G42" s="48" t="s">
        <v>303</v>
      </c>
    </row>
    <row r="43" ht="15.75" customHeight="1">
      <c r="A43" s="28">
        <v>36.0</v>
      </c>
      <c r="B43" s="29" t="s">
        <v>86</v>
      </c>
      <c r="C43" s="30" t="s">
        <v>87</v>
      </c>
      <c r="D43" s="31" t="s">
        <v>231</v>
      </c>
      <c r="E43" s="35" t="s">
        <v>232</v>
      </c>
      <c r="F43" s="33">
        <v>20000.0</v>
      </c>
      <c r="G43" s="48" t="s">
        <v>304</v>
      </c>
    </row>
    <row r="44" ht="15.75" customHeight="1">
      <c r="A44" s="28">
        <v>37.0</v>
      </c>
      <c r="B44" s="29" t="s">
        <v>88</v>
      </c>
      <c r="C44" s="30" t="s">
        <v>89</v>
      </c>
      <c r="D44" s="31" t="s">
        <v>233</v>
      </c>
      <c r="E44" s="35" t="s">
        <v>234</v>
      </c>
      <c r="F44" s="36">
        <v>27500.0</v>
      </c>
      <c r="G44" s="48" t="s">
        <v>305</v>
      </c>
    </row>
    <row r="45" ht="15.75" customHeight="1">
      <c r="A45" s="28">
        <v>38.0</v>
      </c>
      <c r="B45" s="29" t="s">
        <v>90</v>
      </c>
      <c r="C45" s="30" t="s">
        <v>91</v>
      </c>
      <c r="D45" s="31" t="s">
        <v>235</v>
      </c>
      <c r="E45" s="35" t="s">
        <v>236</v>
      </c>
      <c r="F45" s="33">
        <v>25000.0</v>
      </c>
      <c r="G45" s="48" t="s">
        <v>306</v>
      </c>
    </row>
    <row r="46" ht="15.75" customHeight="1">
      <c r="A46" s="28">
        <v>39.0</v>
      </c>
      <c r="B46" s="29" t="s">
        <v>92</v>
      </c>
      <c r="C46" s="30" t="s">
        <v>93</v>
      </c>
      <c r="D46" s="31" t="s">
        <v>237</v>
      </c>
      <c r="E46" s="35" t="s">
        <v>238</v>
      </c>
      <c r="F46" s="36" t="s">
        <v>168</v>
      </c>
      <c r="G46" s="48" t="s">
        <v>307</v>
      </c>
    </row>
    <row r="47" ht="15.75" customHeight="1">
      <c r="A47" s="28">
        <v>40.0</v>
      </c>
      <c r="B47" s="29" t="s">
        <v>94</v>
      </c>
      <c r="C47" s="30" t="s">
        <v>95</v>
      </c>
      <c r="D47" s="40" t="s">
        <v>199</v>
      </c>
      <c r="E47" s="35" t="s">
        <v>200</v>
      </c>
      <c r="F47" s="36" t="s">
        <v>168</v>
      </c>
      <c r="G47" s="48" t="s">
        <v>308</v>
      </c>
    </row>
    <row r="48" ht="15.75" customHeight="1">
      <c r="A48" s="28">
        <v>41.0</v>
      </c>
      <c r="B48" s="29" t="s">
        <v>96</v>
      </c>
      <c r="C48" s="30" t="s">
        <v>97</v>
      </c>
      <c r="D48" s="40" t="s">
        <v>199</v>
      </c>
      <c r="E48" s="35" t="s">
        <v>239</v>
      </c>
      <c r="F48" s="33">
        <v>10000.0</v>
      </c>
      <c r="G48" s="48" t="s">
        <v>309</v>
      </c>
    </row>
    <row r="49" ht="15.75" customHeight="1">
      <c r="A49" s="28">
        <v>42.0</v>
      </c>
      <c r="B49" s="29" t="s">
        <v>98</v>
      </c>
      <c r="C49" s="30" t="s">
        <v>99</v>
      </c>
      <c r="D49" s="40" t="s">
        <v>199</v>
      </c>
      <c r="E49" s="35" t="s">
        <v>230</v>
      </c>
      <c r="F49" s="36" t="s">
        <v>168</v>
      </c>
      <c r="G49" s="48" t="s">
        <v>309</v>
      </c>
    </row>
    <row r="50" ht="15.75" customHeight="1">
      <c r="A50" s="28">
        <v>43.0</v>
      </c>
      <c r="B50" s="29" t="s">
        <v>100</v>
      </c>
      <c r="C50" s="30" t="s">
        <v>101</v>
      </c>
      <c r="D50" s="43" t="s">
        <v>310</v>
      </c>
      <c r="E50" s="35" t="s">
        <v>241</v>
      </c>
      <c r="F50" s="33">
        <v>10000.0</v>
      </c>
      <c r="G50" s="48" t="s">
        <v>308</v>
      </c>
    </row>
    <row r="51" ht="15.75" customHeight="1">
      <c r="A51" s="28">
        <v>44.0</v>
      </c>
      <c r="B51" s="29" t="s">
        <v>102</v>
      </c>
      <c r="C51" s="30" t="s">
        <v>103</v>
      </c>
      <c r="D51" s="40" t="s">
        <v>199</v>
      </c>
      <c r="E51" s="35" t="s">
        <v>215</v>
      </c>
      <c r="F51" s="36" t="s">
        <v>168</v>
      </c>
      <c r="G51" s="48" t="s">
        <v>290</v>
      </c>
    </row>
    <row r="52" ht="15.75" customHeight="1">
      <c r="A52" s="28">
        <v>45.0</v>
      </c>
      <c r="B52" s="29" t="s">
        <v>104</v>
      </c>
      <c r="C52" s="30" t="s">
        <v>105</v>
      </c>
      <c r="D52" s="40" t="s">
        <v>242</v>
      </c>
      <c r="E52" s="35" t="s">
        <v>243</v>
      </c>
      <c r="F52" s="33">
        <v>84000.0</v>
      </c>
      <c r="G52" s="48" t="s">
        <v>311</v>
      </c>
    </row>
    <row r="53" ht="15.75" customHeight="1">
      <c r="A53" s="28">
        <v>46.0</v>
      </c>
      <c r="B53" s="29" t="s">
        <v>106</v>
      </c>
      <c r="C53" s="30" t="s">
        <v>107</v>
      </c>
      <c r="D53" s="40" t="s">
        <v>244</v>
      </c>
      <c r="E53" s="35" t="s">
        <v>245</v>
      </c>
      <c r="F53" s="33">
        <v>25000.0</v>
      </c>
      <c r="G53" s="48" t="s">
        <v>312</v>
      </c>
    </row>
    <row r="54" ht="15.75" customHeight="1">
      <c r="A54" s="28">
        <v>47.0</v>
      </c>
      <c r="B54" s="29" t="s">
        <v>108</v>
      </c>
      <c r="C54" s="30" t="s">
        <v>109</v>
      </c>
      <c r="D54" s="40" t="s">
        <v>246</v>
      </c>
      <c r="E54" s="35" t="s">
        <v>247</v>
      </c>
      <c r="F54" s="33">
        <v>15000.0</v>
      </c>
      <c r="G54" s="48" t="s">
        <v>311</v>
      </c>
    </row>
    <row r="55" ht="15.75" customHeight="1">
      <c r="A55" s="28">
        <v>48.0</v>
      </c>
      <c r="B55" s="29" t="s">
        <v>110</v>
      </c>
      <c r="C55" s="30" t="s">
        <v>111</v>
      </c>
      <c r="D55" s="40" t="s">
        <v>248</v>
      </c>
      <c r="E55" s="35" t="s">
        <v>249</v>
      </c>
      <c r="F55" s="36"/>
      <c r="G55" s="48" t="s">
        <v>313</v>
      </c>
    </row>
    <row r="56" ht="15.75" customHeight="1">
      <c r="A56" s="28">
        <v>49.0</v>
      </c>
      <c r="B56" s="29" t="s">
        <v>112</v>
      </c>
      <c r="C56" s="30" t="s">
        <v>113</v>
      </c>
      <c r="D56" s="40" t="s">
        <v>250</v>
      </c>
      <c r="E56" s="35" t="s">
        <v>251</v>
      </c>
      <c r="F56" s="33">
        <v>40000.0</v>
      </c>
      <c r="G56" s="48" t="s">
        <v>313</v>
      </c>
    </row>
    <row r="57" ht="15.75" customHeight="1">
      <c r="A57" s="28">
        <v>50.0</v>
      </c>
      <c r="B57" s="29" t="s">
        <v>114</v>
      </c>
      <c r="C57" s="30" t="s">
        <v>115</v>
      </c>
      <c r="D57" s="40" t="s">
        <v>199</v>
      </c>
      <c r="E57" s="35" t="s">
        <v>203</v>
      </c>
      <c r="F57" s="36" t="s">
        <v>168</v>
      </c>
      <c r="G57" s="48" t="s">
        <v>290</v>
      </c>
    </row>
    <row r="58" ht="15.75" customHeight="1">
      <c r="A58" s="28">
        <v>51.0</v>
      </c>
      <c r="B58" s="29" t="s">
        <v>116</v>
      </c>
      <c r="C58" s="30" t="s">
        <v>117</v>
      </c>
      <c r="D58" s="40" t="s">
        <v>199</v>
      </c>
      <c r="E58" s="5" t="s">
        <v>200</v>
      </c>
      <c r="F58" s="36"/>
      <c r="G58" s="48" t="s">
        <v>314</v>
      </c>
    </row>
    <row r="59" ht="15.75" customHeight="1">
      <c r="A59" s="28">
        <v>52.0</v>
      </c>
      <c r="B59" s="29" t="s">
        <v>118</v>
      </c>
      <c r="C59" s="30" t="s">
        <v>119</v>
      </c>
      <c r="D59" s="40" t="s">
        <v>252</v>
      </c>
      <c r="E59" s="5" t="s">
        <v>253</v>
      </c>
      <c r="F59" s="36" t="s">
        <v>168</v>
      </c>
      <c r="G59" s="48" t="s">
        <v>315</v>
      </c>
    </row>
    <row r="60" ht="15.75" customHeight="1">
      <c r="A60" s="28">
        <v>53.0</v>
      </c>
      <c r="B60" s="29" t="s">
        <v>120</v>
      </c>
      <c r="C60" s="30" t="s">
        <v>121</v>
      </c>
      <c r="D60" s="40" t="s">
        <v>255</v>
      </c>
      <c r="E60" s="5" t="s">
        <v>256</v>
      </c>
      <c r="F60" s="33">
        <v>23000.0</v>
      </c>
      <c r="G60" s="48" t="s">
        <v>308</v>
      </c>
    </row>
    <row r="61" ht="15.75" customHeight="1">
      <c r="A61" s="28">
        <v>54.0</v>
      </c>
      <c r="B61" s="29" t="s">
        <v>122</v>
      </c>
      <c r="C61" s="30" t="s">
        <v>123</v>
      </c>
      <c r="D61" s="40" t="s">
        <v>257</v>
      </c>
      <c r="E61" s="5" t="s">
        <v>258</v>
      </c>
      <c r="F61" s="33">
        <v>30000.0</v>
      </c>
      <c r="G61" s="48" t="s">
        <v>313</v>
      </c>
    </row>
    <row r="62" ht="15.75" customHeight="1">
      <c r="A62" s="28">
        <v>55.0</v>
      </c>
      <c r="B62" s="29" t="s">
        <v>124</v>
      </c>
      <c r="C62" s="30" t="s">
        <v>125</v>
      </c>
      <c r="D62" s="40" t="s">
        <v>259</v>
      </c>
      <c r="E62" s="5" t="s">
        <v>251</v>
      </c>
      <c r="F62" s="33">
        <v>40000.0</v>
      </c>
      <c r="G62" s="48" t="s">
        <v>308</v>
      </c>
    </row>
    <row r="63" ht="15.75" customHeight="1">
      <c r="A63" s="28">
        <v>56.0</v>
      </c>
      <c r="B63" s="29" t="s">
        <v>126</v>
      </c>
      <c r="C63" s="30" t="s">
        <v>127</v>
      </c>
      <c r="D63" s="40" t="s">
        <v>199</v>
      </c>
      <c r="E63" s="5" t="s">
        <v>230</v>
      </c>
      <c r="F63" s="36" t="s">
        <v>168</v>
      </c>
      <c r="G63" s="48" t="s">
        <v>314</v>
      </c>
    </row>
    <row r="64" ht="15.75" customHeight="1">
      <c r="A64" s="28">
        <v>57.0</v>
      </c>
      <c r="B64" s="29" t="s">
        <v>128</v>
      </c>
      <c r="C64" s="30" t="s">
        <v>129</v>
      </c>
      <c r="D64" s="40" t="s">
        <v>260</v>
      </c>
      <c r="E64" s="5" t="s">
        <v>261</v>
      </c>
      <c r="F64" s="36" t="s">
        <v>262</v>
      </c>
      <c r="G64" s="48" t="s">
        <v>316</v>
      </c>
    </row>
    <row r="65" ht="15.75" customHeight="1">
      <c r="A65" s="28">
        <v>58.0</v>
      </c>
      <c r="B65" s="29" t="s">
        <v>130</v>
      </c>
      <c r="C65" s="30" t="s">
        <v>131</v>
      </c>
      <c r="D65" s="40" t="s">
        <v>199</v>
      </c>
      <c r="E65" s="5" t="s">
        <v>264</v>
      </c>
      <c r="F65" s="36" t="s">
        <v>168</v>
      </c>
      <c r="G65" s="48" t="s">
        <v>290</v>
      </c>
    </row>
    <row r="66" ht="15.75" customHeight="1">
      <c r="A66" s="28">
        <v>59.0</v>
      </c>
      <c r="B66" s="29" t="s">
        <v>132</v>
      </c>
      <c r="C66" s="30" t="s">
        <v>133</v>
      </c>
      <c r="D66" s="40" t="s">
        <v>199</v>
      </c>
      <c r="E66" s="5" t="s">
        <v>265</v>
      </c>
      <c r="F66" s="36" t="s">
        <v>168</v>
      </c>
      <c r="G66" s="48" t="s">
        <v>314</v>
      </c>
    </row>
    <row r="67" ht="15.75" customHeight="1">
      <c r="A67" s="28">
        <v>60.0</v>
      </c>
      <c r="B67" s="29" t="s">
        <v>134</v>
      </c>
      <c r="C67" s="30" t="s">
        <v>135</v>
      </c>
      <c r="D67" s="40" t="s">
        <v>266</v>
      </c>
      <c r="E67" s="5" t="s">
        <v>267</v>
      </c>
      <c r="F67" s="36" t="s">
        <v>168</v>
      </c>
      <c r="G67" s="48" t="s">
        <v>317</v>
      </c>
    </row>
    <row r="68" ht="15.75" customHeight="1">
      <c r="A68" s="28">
        <v>61.0</v>
      </c>
      <c r="B68" s="29" t="s">
        <v>136</v>
      </c>
      <c r="C68" s="30" t="s">
        <v>137</v>
      </c>
      <c r="D68" s="40" t="s">
        <v>268</v>
      </c>
      <c r="E68" s="5" t="s">
        <v>269</v>
      </c>
      <c r="F68" s="36" t="s">
        <v>168</v>
      </c>
      <c r="G68" s="48" t="s">
        <v>313</v>
      </c>
    </row>
    <row r="69" ht="15.75" customHeight="1">
      <c r="A69" s="28">
        <v>62.0</v>
      </c>
      <c r="B69" s="29" t="s">
        <v>138</v>
      </c>
      <c r="C69" s="30" t="s">
        <v>139</v>
      </c>
      <c r="D69" s="40" t="s">
        <v>199</v>
      </c>
      <c r="E69" s="5" t="s">
        <v>270</v>
      </c>
      <c r="F69" s="36" t="s">
        <v>168</v>
      </c>
      <c r="G69" s="48" t="s">
        <v>289</v>
      </c>
    </row>
    <row r="70" ht="15.75" customHeight="1">
      <c r="A70" s="28">
        <v>63.0</v>
      </c>
      <c r="B70" s="29" t="s">
        <v>140</v>
      </c>
      <c r="C70" s="30" t="s">
        <v>141</v>
      </c>
      <c r="D70" s="40" t="s">
        <v>271</v>
      </c>
      <c r="E70" s="5" t="s">
        <v>264</v>
      </c>
      <c r="F70" s="36"/>
      <c r="G70" s="48" t="s">
        <v>318</v>
      </c>
    </row>
    <row r="71" ht="15.75" customHeight="1">
      <c r="A71" s="28">
        <v>64.0</v>
      </c>
      <c r="B71" s="29" t="s">
        <v>142</v>
      </c>
      <c r="C71" s="30" t="s">
        <v>143</v>
      </c>
      <c r="D71" s="40" t="s">
        <v>213</v>
      </c>
      <c r="E71" s="5" t="s">
        <v>214</v>
      </c>
      <c r="F71" s="36" t="s">
        <v>168</v>
      </c>
      <c r="G71" s="48" t="s">
        <v>319</v>
      </c>
    </row>
    <row r="72" ht="15.75" customHeight="1">
      <c r="A72" s="28">
        <v>65.0</v>
      </c>
      <c r="B72" s="29" t="s">
        <v>144</v>
      </c>
      <c r="C72" s="30" t="s">
        <v>145</v>
      </c>
      <c r="D72" s="40" t="s">
        <v>272</v>
      </c>
      <c r="E72" s="5" t="s">
        <v>273</v>
      </c>
      <c r="F72" s="36" t="s">
        <v>168</v>
      </c>
      <c r="G72" s="48" t="s">
        <v>289</v>
      </c>
    </row>
    <row r="73" ht="15.75" customHeight="1">
      <c r="A73" s="28">
        <v>66.0</v>
      </c>
      <c r="B73" s="29" t="s">
        <v>146</v>
      </c>
      <c r="C73" s="30" t="s">
        <v>147</v>
      </c>
      <c r="D73" s="40" t="s">
        <v>274</v>
      </c>
      <c r="E73" s="5" t="s">
        <v>275</v>
      </c>
      <c r="F73" s="33">
        <v>35000.0</v>
      </c>
      <c r="G73" s="48" t="s">
        <v>320</v>
      </c>
    </row>
    <row r="74" ht="15.75" customHeight="1">
      <c r="A74" s="28">
        <v>67.0</v>
      </c>
      <c r="B74" s="29" t="s">
        <v>148</v>
      </c>
      <c r="C74" s="30" t="s">
        <v>149</v>
      </c>
      <c r="D74" s="40" t="s">
        <v>196</v>
      </c>
      <c r="E74" s="5" t="s">
        <v>197</v>
      </c>
      <c r="F74" s="36" t="s">
        <v>168</v>
      </c>
      <c r="G74" s="48" t="s">
        <v>321</v>
      </c>
    </row>
    <row r="75" ht="15.75" customHeight="1">
      <c r="A75" s="44"/>
      <c r="B75" s="44"/>
      <c r="C75" s="45"/>
      <c r="D75" s="44"/>
      <c r="E75" s="44"/>
      <c r="F75" s="44"/>
      <c r="G75" s="46"/>
    </row>
    <row r="76" ht="15.75" customHeight="1">
      <c r="A76" s="44"/>
      <c r="B76" s="44"/>
      <c r="C76" s="45"/>
      <c r="D76" s="44"/>
      <c r="E76" s="44"/>
      <c r="F76" s="44"/>
      <c r="G76" s="46"/>
    </row>
    <row r="77" ht="15.75" customHeight="1">
      <c r="A77" s="44"/>
      <c r="B77" s="44"/>
      <c r="C77" s="45"/>
      <c r="D77" s="44"/>
      <c r="E77" s="44"/>
      <c r="F77" s="44"/>
      <c r="G77" s="46"/>
    </row>
    <row r="78" ht="15.75" customHeight="1">
      <c r="A78" s="44"/>
      <c r="B78" s="44"/>
      <c r="C78" s="45"/>
      <c r="D78" s="44"/>
      <c r="E78" s="44"/>
      <c r="F78" s="44"/>
      <c r="G78" s="46"/>
    </row>
    <row r="79" ht="15.75" customHeight="1">
      <c r="A79" s="44"/>
      <c r="B79" s="44"/>
      <c r="C79" s="45"/>
      <c r="D79" s="44"/>
      <c r="E79" s="44"/>
      <c r="F79" s="44"/>
      <c r="G79" s="46"/>
    </row>
    <row r="80" ht="15.75" customHeight="1">
      <c r="A80" s="44"/>
      <c r="B80" s="44"/>
      <c r="C80" s="45"/>
      <c r="D80" s="44"/>
      <c r="E80" s="44"/>
      <c r="F80" s="44"/>
      <c r="G80" s="46"/>
    </row>
    <row r="81" ht="15.75" customHeight="1">
      <c r="A81" s="44"/>
      <c r="B81" s="44"/>
      <c r="C81" s="45"/>
      <c r="D81" s="44"/>
      <c r="E81" s="44"/>
      <c r="F81" s="44"/>
      <c r="G81" s="46"/>
    </row>
    <row r="82" ht="15.75" customHeight="1">
      <c r="A82" s="44"/>
      <c r="B82" s="44"/>
      <c r="C82" s="45"/>
      <c r="D82" s="44"/>
      <c r="E82" s="44"/>
      <c r="F82" s="44"/>
      <c r="G82" s="46"/>
    </row>
    <row r="83" ht="15.75" customHeight="1">
      <c r="A83" s="44"/>
      <c r="B83" s="44"/>
      <c r="C83" s="45"/>
      <c r="D83" s="44"/>
      <c r="E83" s="44"/>
      <c r="F83" s="44"/>
      <c r="G83" s="46"/>
    </row>
    <row r="84" ht="15.75" customHeight="1">
      <c r="A84" s="44"/>
      <c r="B84" s="44"/>
      <c r="C84" s="45"/>
      <c r="D84" s="44"/>
      <c r="E84" s="44"/>
      <c r="F84" s="44"/>
      <c r="G84" s="46"/>
    </row>
    <row r="85" ht="15.75" customHeight="1">
      <c r="A85" s="44"/>
      <c r="B85" s="44"/>
      <c r="C85" s="45"/>
      <c r="D85" s="44"/>
      <c r="E85" s="44"/>
      <c r="F85" s="44"/>
      <c r="G85" s="46"/>
    </row>
    <row r="86" ht="15.75" customHeight="1">
      <c r="A86" s="44"/>
      <c r="B86" s="44"/>
      <c r="C86" s="45"/>
      <c r="D86" s="44"/>
      <c r="E86" s="44"/>
      <c r="F86" s="44"/>
      <c r="G86" s="46"/>
    </row>
    <row r="87" ht="15.75" customHeight="1">
      <c r="A87" s="44"/>
      <c r="B87" s="44"/>
      <c r="C87" s="45"/>
      <c r="D87" s="44"/>
      <c r="E87" s="44"/>
      <c r="F87" s="44"/>
      <c r="G87" s="46"/>
    </row>
    <row r="88" ht="15.75" customHeight="1">
      <c r="A88" s="44"/>
      <c r="B88" s="44"/>
      <c r="C88" s="45"/>
      <c r="D88" s="44"/>
      <c r="E88" s="44"/>
      <c r="F88" s="44"/>
      <c r="G88" s="46"/>
    </row>
    <row r="89" ht="15.75" customHeight="1">
      <c r="A89" s="44"/>
      <c r="B89" s="44"/>
      <c r="C89" s="45"/>
      <c r="D89" s="44"/>
      <c r="E89" s="44"/>
      <c r="F89" s="44"/>
      <c r="G89" s="46"/>
    </row>
    <row r="90" ht="15.75" customHeight="1">
      <c r="A90" s="44"/>
      <c r="B90" s="44"/>
      <c r="C90" s="45"/>
      <c r="D90" s="44"/>
      <c r="E90" s="44"/>
      <c r="F90" s="44"/>
      <c r="G90" s="46"/>
    </row>
    <row r="91" ht="15.75" customHeight="1">
      <c r="A91" s="44"/>
      <c r="B91" s="44"/>
      <c r="C91" s="45"/>
      <c r="D91" s="44"/>
      <c r="E91" s="44"/>
      <c r="F91" s="44"/>
      <c r="G91" s="46"/>
    </row>
    <row r="92" ht="15.75" customHeight="1">
      <c r="A92" s="44"/>
      <c r="B92" s="44"/>
      <c r="C92" s="45"/>
      <c r="D92" s="44"/>
      <c r="E92" s="44"/>
      <c r="F92" s="44"/>
      <c r="G92" s="46"/>
    </row>
    <row r="93" ht="15.75" customHeight="1">
      <c r="A93" s="44"/>
      <c r="B93" s="44"/>
      <c r="C93" s="45"/>
      <c r="D93" s="44"/>
      <c r="E93" s="44"/>
      <c r="F93" s="44"/>
      <c r="G93" s="46"/>
    </row>
    <row r="94" ht="15.75" customHeight="1">
      <c r="A94" s="44"/>
      <c r="B94" s="44"/>
      <c r="C94" s="45"/>
      <c r="D94" s="44"/>
      <c r="E94" s="44"/>
      <c r="F94" s="44"/>
      <c r="G94" s="46"/>
    </row>
    <row r="95" ht="15.75" customHeight="1">
      <c r="A95" s="44"/>
      <c r="B95" s="44"/>
      <c r="C95" s="45"/>
      <c r="D95" s="44"/>
      <c r="E95" s="44"/>
      <c r="F95" s="44"/>
      <c r="G95" s="46"/>
    </row>
    <row r="96" ht="15.75" customHeight="1">
      <c r="A96" s="44"/>
      <c r="B96" s="44"/>
      <c r="C96" s="45"/>
      <c r="D96" s="44"/>
      <c r="E96" s="44"/>
      <c r="F96" s="44"/>
      <c r="G96" s="46"/>
    </row>
    <row r="97" ht="15.75" customHeight="1">
      <c r="A97" s="44"/>
      <c r="B97" s="44"/>
      <c r="C97" s="45"/>
      <c r="D97" s="44"/>
      <c r="E97" s="44"/>
      <c r="F97" s="44"/>
      <c r="G97" s="46"/>
    </row>
    <row r="98" ht="15.75" customHeight="1">
      <c r="A98" s="44"/>
      <c r="B98" s="44"/>
      <c r="C98" s="45"/>
      <c r="D98" s="44"/>
      <c r="E98" s="44"/>
      <c r="F98" s="44"/>
      <c r="G98" s="46"/>
    </row>
    <row r="99" ht="15.75" customHeight="1">
      <c r="A99" s="44"/>
      <c r="B99" s="44"/>
      <c r="C99" s="45"/>
      <c r="D99" s="44"/>
      <c r="E99" s="44"/>
      <c r="F99" s="44"/>
      <c r="G99" s="46"/>
    </row>
    <row r="100" ht="15.75" customHeight="1">
      <c r="A100" s="44"/>
      <c r="B100" s="44"/>
      <c r="C100" s="45"/>
      <c r="D100" s="44"/>
      <c r="E100" s="44"/>
      <c r="F100" s="44"/>
      <c r="G100" s="46"/>
    </row>
    <row r="101" ht="15.75" customHeight="1">
      <c r="A101" s="44"/>
      <c r="B101" s="44"/>
      <c r="C101" s="45"/>
      <c r="D101" s="44"/>
      <c r="E101" s="44"/>
      <c r="F101" s="44"/>
      <c r="G101" s="46"/>
    </row>
    <row r="102" ht="15.75" customHeight="1">
      <c r="A102" s="44"/>
      <c r="B102" s="44"/>
      <c r="C102" s="45"/>
      <c r="D102" s="44"/>
      <c r="E102" s="44"/>
      <c r="F102" s="44"/>
      <c r="G102" s="46"/>
    </row>
    <row r="103" ht="15.75" customHeight="1">
      <c r="A103" s="44"/>
      <c r="B103" s="44"/>
      <c r="C103" s="45"/>
      <c r="D103" s="44"/>
      <c r="E103" s="44"/>
      <c r="F103" s="44"/>
      <c r="G103" s="46"/>
    </row>
    <row r="104" ht="15.75" customHeight="1">
      <c r="A104" s="44"/>
      <c r="B104" s="44"/>
      <c r="C104" s="45"/>
      <c r="D104" s="44"/>
      <c r="E104" s="44"/>
      <c r="F104" s="44"/>
      <c r="G104" s="46"/>
    </row>
    <row r="105" ht="15.75" customHeight="1">
      <c r="A105" s="44"/>
      <c r="B105" s="44"/>
      <c r="C105" s="45"/>
      <c r="D105" s="44"/>
      <c r="E105" s="44"/>
      <c r="F105" s="44"/>
      <c r="G105" s="46"/>
    </row>
    <row r="106" ht="15.75" customHeight="1">
      <c r="A106" s="44"/>
      <c r="B106" s="44"/>
      <c r="C106" s="45"/>
      <c r="D106" s="44"/>
      <c r="E106" s="44"/>
      <c r="F106" s="44"/>
      <c r="G106" s="46"/>
    </row>
    <row r="107" ht="15.75" customHeight="1">
      <c r="A107" s="44"/>
      <c r="B107" s="44"/>
      <c r="C107" s="45"/>
      <c r="D107" s="44"/>
      <c r="E107" s="44"/>
      <c r="F107" s="44"/>
      <c r="G107" s="46"/>
    </row>
    <row r="108" ht="15.75" customHeight="1">
      <c r="A108" s="44"/>
      <c r="B108" s="44"/>
      <c r="C108" s="45"/>
      <c r="D108" s="44"/>
      <c r="E108" s="44"/>
      <c r="F108" s="44"/>
      <c r="G108" s="46"/>
    </row>
    <row r="109" ht="15.75" customHeight="1">
      <c r="A109" s="44"/>
      <c r="B109" s="44"/>
      <c r="C109" s="45"/>
      <c r="D109" s="44"/>
      <c r="E109" s="44"/>
      <c r="F109" s="44"/>
      <c r="G109" s="46"/>
    </row>
    <row r="110" ht="15.75" customHeight="1">
      <c r="A110" s="44"/>
      <c r="B110" s="44"/>
      <c r="C110" s="45"/>
      <c r="D110" s="44"/>
      <c r="E110" s="44"/>
      <c r="F110" s="44"/>
      <c r="G110" s="46"/>
    </row>
    <row r="111" ht="15.75" customHeight="1">
      <c r="A111" s="44"/>
      <c r="B111" s="44"/>
      <c r="C111" s="45"/>
      <c r="D111" s="44"/>
      <c r="E111" s="44"/>
      <c r="F111" s="44"/>
      <c r="G111" s="46"/>
    </row>
    <row r="112" ht="15.75" customHeight="1">
      <c r="A112" s="44"/>
      <c r="B112" s="44"/>
      <c r="C112" s="45"/>
      <c r="D112" s="44"/>
      <c r="E112" s="44"/>
      <c r="F112" s="44"/>
      <c r="G112" s="46"/>
    </row>
    <row r="113" ht="15.75" customHeight="1">
      <c r="A113" s="44"/>
      <c r="B113" s="44"/>
      <c r="C113" s="45"/>
      <c r="D113" s="44"/>
      <c r="E113" s="44"/>
      <c r="F113" s="44"/>
      <c r="G113" s="46"/>
    </row>
    <row r="114" ht="15.75" customHeight="1">
      <c r="A114" s="44"/>
      <c r="B114" s="44"/>
      <c r="C114" s="45"/>
      <c r="D114" s="44"/>
      <c r="E114" s="44"/>
      <c r="F114" s="44"/>
      <c r="G114" s="46"/>
    </row>
    <row r="115" ht="15.75" customHeight="1">
      <c r="A115" s="44"/>
      <c r="B115" s="44"/>
      <c r="C115" s="45"/>
      <c r="D115" s="44"/>
      <c r="E115" s="44"/>
      <c r="F115" s="44"/>
      <c r="G115" s="46"/>
    </row>
    <row r="116" ht="15.75" customHeight="1">
      <c r="A116" s="44"/>
      <c r="B116" s="44"/>
      <c r="C116" s="45"/>
      <c r="D116" s="44"/>
      <c r="E116" s="44"/>
      <c r="F116" s="44"/>
      <c r="G116" s="46"/>
    </row>
    <row r="117" ht="15.75" customHeight="1">
      <c r="A117" s="44"/>
      <c r="B117" s="44"/>
      <c r="C117" s="45"/>
      <c r="D117" s="44"/>
      <c r="E117" s="44"/>
      <c r="F117" s="44"/>
      <c r="G117" s="46"/>
    </row>
    <row r="118" ht="15.75" customHeight="1">
      <c r="A118" s="44"/>
      <c r="B118" s="44"/>
      <c r="C118" s="45"/>
      <c r="D118" s="44"/>
      <c r="E118" s="44"/>
      <c r="F118" s="44"/>
      <c r="G118" s="46"/>
    </row>
    <row r="119" ht="15.75" customHeight="1">
      <c r="A119" s="44"/>
      <c r="B119" s="44"/>
      <c r="C119" s="45"/>
      <c r="D119" s="44"/>
      <c r="E119" s="44"/>
      <c r="F119" s="44"/>
      <c r="G119" s="46"/>
    </row>
    <row r="120" ht="15.75" customHeight="1">
      <c r="A120" s="44"/>
      <c r="B120" s="44"/>
      <c r="C120" s="45"/>
      <c r="D120" s="44"/>
      <c r="E120" s="44"/>
      <c r="F120" s="44"/>
      <c r="G120" s="46"/>
    </row>
    <row r="121" ht="15.75" customHeight="1">
      <c r="A121" s="44"/>
      <c r="B121" s="44"/>
      <c r="C121" s="45"/>
      <c r="D121" s="44"/>
      <c r="E121" s="44"/>
      <c r="F121" s="44"/>
      <c r="G121" s="46"/>
    </row>
    <row r="122" ht="15.75" customHeight="1">
      <c r="A122" s="44"/>
      <c r="B122" s="44"/>
      <c r="C122" s="45"/>
      <c r="D122" s="44"/>
      <c r="E122" s="44"/>
      <c r="F122" s="44"/>
      <c r="G122" s="46"/>
    </row>
    <row r="123" ht="15.75" customHeight="1">
      <c r="A123" s="44"/>
      <c r="B123" s="44"/>
      <c r="C123" s="45"/>
      <c r="D123" s="44"/>
      <c r="E123" s="44"/>
      <c r="F123" s="44"/>
      <c r="G123" s="46"/>
    </row>
    <row r="124" ht="15.75" customHeight="1">
      <c r="A124" s="44"/>
      <c r="B124" s="44"/>
      <c r="C124" s="45"/>
      <c r="D124" s="44"/>
      <c r="E124" s="44"/>
      <c r="F124" s="44"/>
      <c r="G124" s="46"/>
    </row>
    <row r="125" ht="15.75" customHeight="1">
      <c r="A125" s="44"/>
      <c r="B125" s="44"/>
      <c r="C125" s="45"/>
      <c r="D125" s="44"/>
      <c r="E125" s="44"/>
      <c r="F125" s="44"/>
      <c r="G125" s="46"/>
    </row>
    <row r="126" ht="15.75" customHeight="1">
      <c r="A126" s="44"/>
      <c r="B126" s="44"/>
      <c r="C126" s="45"/>
      <c r="D126" s="44"/>
      <c r="E126" s="44"/>
      <c r="F126" s="44"/>
      <c r="G126" s="46"/>
    </row>
    <row r="127" ht="15.75" customHeight="1">
      <c r="A127" s="44"/>
      <c r="B127" s="44"/>
      <c r="C127" s="45"/>
      <c r="D127" s="44"/>
      <c r="E127" s="44"/>
      <c r="F127" s="44"/>
      <c r="G127" s="46"/>
    </row>
    <row r="128" ht="15.75" customHeight="1">
      <c r="A128" s="44"/>
      <c r="B128" s="44"/>
      <c r="C128" s="45"/>
      <c r="D128" s="44"/>
      <c r="E128" s="44"/>
      <c r="F128" s="44"/>
      <c r="G128" s="46"/>
    </row>
    <row r="129" ht="15.75" customHeight="1">
      <c r="A129" s="44"/>
      <c r="B129" s="44"/>
      <c r="C129" s="45"/>
      <c r="D129" s="44"/>
      <c r="E129" s="44"/>
      <c r="F129" s="44"/>
      <c r="G129" s="46"/>
    </row>
    <row r="130" ht="15.75" customHeight="1">
      <c r="A130" s="44"/>
      <c r="B130" s="44"/>
      <c r="C130" s="45"/>
      <c r="D130" s="44"/>
      <c r="E130" s="44"/>
      <c r="F130" s="44"/>
      <c r="G130" s="46"/>
    </row>
    <row r="131" ht="15.75" customHeight="1">
      <c r="A131" s="44"/>
      <c r="B131" s="44"/>
      <c r="C131" s="45"/>
      <c r="D131" s="44"/>
      <c r="E131" s="44"/>
      <c r="F131" s="44"/>
      <c r="G131" s="46"/>
    </row>
    <row r="132" ht="15.75" customHeight="1">
      <c r="A132" s="44"/>
      <c r="B132" s="44"/>
      <c r="C132" s="45"/>
      <c r="D132" s="44"/>
      <c r="E132" s="44"/>
      <c r="F132" s="44"/>
      <c r="G132" s="46"/>
    </row>
    <row r="133" ht="15.75" customHeight="1">
      <c r="A133" s="44"/>
      <c r="B133" s="44"/>
      <c r="C133" s="45"/>
      <c r="D133" s="44"/>
      <c r="E133" s="44"/>
      <c r="F133" s="44"/>
      <c r="G133" s="46"/>
    </row>
    <row r="134" ht="15.75" customHeight="1">
      <c r="A134" s="44"/>
      <c r="B134" s="44"/>
      <c r="C134" s="45"/>
      <c r="D134" s="44"/>
      <c r="E134" s="44"/>
      <c r="F134" s="44"/>
      <c r="G134" s="46"/>
    </row>
    <row r="135" ht="15.75" customHeight="1">
      <c r="A135" s="44"/>
      <c r="B135" s="44"/>
      <c r="C135" s="45"/>
      <c r="D135" s="44"/>
      <c r="E135" s="44"/>
      <c r="F135" s="44"/>
      <c r="G135" s="46"/>
    </row>
    <row r="136" ht="15.75" customHeight="1">
      <c r="A136" s="44"/>
      <c r="B136" s="44"/>
      <c r="C136" s="45"/>
      <c r="D136" s="44"/>
      <c r="E136" s="44"/>
      <c r="F136" s="44"/>
      <c r="G136" s="46"/>
    </row>
    <row r="137" ht="15.75" customHeight="1">
      <c r="A137" s="44"/>
      <c r="B137" s="44"/>
      <c r="C137" s="45"/>
      <c r="D137" s="44"/>
      <c r="E137" s="44"/>
      <c r="F137" s="44"/>
      <c r="G137" s="46"/>
    </row>
    <row r="138" ht="15.75" customHeight="1">
      <c r="A138" s="44"/>
      <c r="B138" s="44"/>
      <c r="C138" s="45"/>
      <c r="D138" s="44"/>
      <c r="E138" s="44"/>
      <c r="F138" s="44"/>
      <c r="G138" s="46"/>
    </row>
    <row r="139" ht="15.75" customHeight="1">
      <c r="A139" s="44"/>
      <c r="B139" s="44"/>
      <c r="C139" s="45"/>
      <c r="D139" s="44"/>
      <c r="E139" s="44"/>
      <c r="F139" s="44"/>
      <c r="G139" s="46"/>
    </row>
    <row r="140" ht="15.75" customHeight="1">
      <c r="A140" s="44"/>
      <c r="B140" s="44"/>
      <c r="C140" s="45"/>
      <c r="D140" s="44"/>
      <c r="E140" s="44"/>
      <c r="F140" s="44"/>
      <c r="G140" s="46"/>
    </row>
    <row r="141" ht="15.75" customHeight="1">
      <c r="A141" s="44"/>
      <c r="B141" s="44"/>
      <c r="C141" s="45"/>
      <c r="D141" s="44"/>
      <c r="E141" s="44"/>
      <c r="F141" s="44"/>
      <c r="G141" s="46"/>
    </row>
    <row r="142" ht="15.75" customHeight="1">
      <c r="A142" s="44"/>
      <c r="B142" s="44"/>
      <c r="C142" s="45"/>
      <c r="D142" s="44"/>
      <c r="E142" s="44"/>
      <c r="F142" s="44"/>
      <c r="G142" s="46"/>
    </row>
    <row r="143" ht="15.75" customHeight="1">
      <c r="A143" s="44"/>
      <c r="B143" s="44"/>
      <c r="C143" s="45"/>
      <c r="D143" s="44"/>
      <c r="E143" s="44"/>
      <c r="F143" s="44"/>
      <c r="G143" s="46"/>
    </row>
    <row r="144" ht="15.75" customHeight="1">
      <c r="A144" s="44"/>
      <c r="B144" s="44"/>
      <c r="C144" s="45"/>
      <c r="D144" s="44"/>
      <c r="E144" s="44"/>
      <c r="F144" s="44"/>
      <c r="G144" s="46"/>
    </row>
    <row r="145" ht="15.75" customHeight="1">
      <c r="A145" s="44"/>
      <c r="B145" s="44"/>
      <c r="C145" s="45"/>
      <c r="D145" s="44"/>
      <c r="E145" s="44"/>
      <c r="F145" s="44"/>
      <c r="G145" s="46"/>
    </row>
    <row r="146" ht="15.75" customHeight="1">
      <c r="A146" s="44"/>
      <c r="B146" s="44"/>
      <c r="C146" s="45"/>
      <c r="D146" s="44"/>
      <c r="E146" s="44"/>
      <c r="F146" s="44"/>
      <c r="G146" s="46"/>
    </row>
    <row r="147" ht="15.75" customHeight="1">
      <c r="A147" s="44"/>
      <c r="B147" s="44"/>
      <c r="C147" s="45"/>
      <c r="D147" s="44"/>
      <c r="E147" s="44"/>
      <c r="F147" s="44"/>
      <c r="G147" s="46"/>
    </row>
    <row r="148" ht="15.75" customHeight="1">
      <c r="A148" s="44"/>
      <c r="B148" s="44"/>
      <c r="C148" s="45"/>
      <c r="D148" s="44"/>
      <c r="E148" s="44"/>
      <c r="F148" s="44"/>
      <c r="G148" s="46"/>
    </row>
    <row r="149" ht="15.75" customHeight="1">
      <c r="A149" s="44"/>
      <c r="B149" s="44"/>
      <c r="C149" s="45"/>
      <c r="D149" s="44"/>
      <c r="E149" s="44"/>
      <c r="F149" s="44"/>
      <c r="G149" s="46"/>
    </row>
    <row r="150" ht="15.75" customHeight="1">
      <c r="A150" s="44"/>
      <c r="B150" s="44"/>
      <c r="C150" s="45"/>
      <c r="D150" s="44"/>
      <c r="E150" s="44"/>
      <c r="F150" s="44"/>
      <c r="G150" s="46"/>
    </row>
    <row r="151" ht="15.75" customHeight="1">
      <c r="A151" s="44"/>
      <c r="B151" s="44"/>
      <c r="C151" s="45"/>
      <c r="D151" s="44"/>
      <c r="E151" s="44"/>
      <c r="F151" s="44"/>
      <c r="G151" s="46"/>
    </row>
    <row r="152" ht="15.75" customHeight="1">
      <c r="A152" s="44"/>
      <c r="B152" s="44"/>
      <c r="C152" s="45"/>
      <c r="D152" s="44"/>
      <c r="E152" s="44"/>
      <c r="F152" s="44"/>
      <c r="G152" s="46"/>
    </row>
    <row r="153" ht="15.75" customHeight="1">
      <c r="A153" s="44"/>
      <c r="B153" s="44"/>
      <c r="C153" s="45"/>
      <c r="D153" s="44"/>
      <c r="E153" s="44"/>
      <c r="F153" s="44"/>
      <c r="G153" s="46"/>
    </row>
    <row r="154" ht="15.75" customHeight="1">
      <c r="A154" s="44"/>
      <c r="B154" s="44"/>
      <c r="C154" s="45"/>
      <c r="D154" s="44"/>
      <c r="E154" s="44"/>
      <c r="F154" s="44"/>
      <c r="G154" s="46"/>
    </row>
    <row r="155" ht="15.75" customHeight="1">
      <c r="A155" s="44"/>
      <c r="B155" s="44"/>
      <c r="C155" s="45"/>
      <c r="D155" s="44"/>
      <c r="E155" s="44"/>
      <c r="F155" s="44"/>
      <c r="G155" s="46"/>
    </row>
    <row r="156" ht="15.75" customHeight="1">
      <c r="A156" s="44"/>
      <c r="B156" s="44"/>
      <c r="C156" s="45"/>
      <c r="D156" s="44"/>
      <c r="E156" s="44"/>
      <c r="F156" s="44"/>
      <c r="G156" s="46"/>
    </row>
    <row r="157" ht="15.75" customHeight="1">
      <c r="A157" s="44"/>
      <c r="B157" s="44"/>
      <c r="C157" s="45"/>
      <c r="D157" s="44"/>
      <c r="E157" s="44"/>
      <c r="F157" s="44"/>
      <c r="G157" s="46"/>
    </row>
    <row r="158" ht="15.75" customHeight="1">
      <c r="A158" s="44"/>
      <c r="B158" s="44"/>
      <c r="C158" s="45"/>
      <c r="D158" s="44"/>
      <c r="E158" s="44"/>
      <c r="F158" s="44"/>
      <c r="G158" s="46"/>
    </row>
    <row r="159" ht="15.75" customHeight="1">
      <c r="A159" s="44"/>
      <c r="B159" s="44"/>
      <c r="C159" s="45"/>
      <c r="D159" s="44"/>
      <c r="E159" s="44"/>
      <c r="F159" s="44"/>
      <c r="G159" s="46"/>
    </row>
    <row r="160" ht="15.75" customHeight="1">
      <c r="A160" s="44"/>
      <c r="B160" s="44"/>
      <c r="C160" s="45"/>
      <c r="D160" s="44"/>
      <c r="E160" s="44"/>
      <c r="F160" s="44"/>
      <c r="G160" s="46"/>
    </row>
    <row r="161" ht="15.75" customHeight="1">
      <c r="A161" s="44"/>
      <c r="B161" s="44"/>
      <c r="C161" s="45"/>
      <c r="D161" s="44"/>
      <c r="E161" s="44"/>
      <c r="F161" s="44"/>
      <c r="G161" s="46"/>
    </row>
    <row r="162" ht="15.75" customHeight="1">
      <c r="A162" s="44"/>
      <c r="B162" s="44"/>
      <c r="C162" s="45"/>
      <c r="D162" s="44"/>
      <c r="E162" s="44"/>
      <c r="F162" s="44"/>
      <c r="G162" s="46"/>
    </row>
    <row r="163" ht="15.75" customHeight="1">
      <c r="A163" s="44"/>
      <c r="B163" s="44"/>
      <c r="C163" s="45"/>
      <c r="D163" s="44"/>
      <c r="E163" s="44"/>
      <c r="F163" s="44"/>
      <c r="G163" s="46"/>
    </row>
    <row r="164" ht="15.75" customHeight="1">
      <c r="A164" s="44"/>
      <c r="B164" s="44"/>
      <c r="C164" s="45"/>
      <c r="D164" s="44"/>
      <c r="E164" s="44"/>
      <c r="F164" s="44"/>
      <c r="G164" s="46"/>
    </row>
    <row r="165" ht="15.75" customHeight="1">
      <c r="A165" s="44"/>
      <c r="B165" s="44"/>
      <c r="C165" s="45"/>
      <c r="D165" s="44"/>
      <c r="E165" s="44"/>
      <c r="F165" s="44"/>
      <c r="G165" s="46"/>
    </row>
    <row r="166" ht="15.75" customHeight="1">
      <c r="A166" s="44"/>
      <c r="B166" s="44"/>
      <c r="C166" s="45"/>
      <c r="D166" s="44"/>
      <c r="E166" s="44"/>
      <c r="F166" s="44"/>
      <c r="G166" s="46"/>
    </row>
    <row r="167" ht="15.75" customHeight="1">
      <c r="A167" s="44"/>
      <c r="B167" s="44"/>
      <c r="C167" s="45"/>
      <c r="D167" s="44"/>
      <c r="E167" s="44"/>
      <c r="F167" s="44"/>
      <c r="G167" s="46"/>
    </row>
    <row r="168" ht="15.75" customHeight="1">
      <c r="A168" s="44"/>
      <c r="B168" s="44"/>
      <c r="C168" s="45"/>
      <c r="D168" s="44"/>
      <c r="E168" s="44"/>
      <c r="F168" s="44"/>
      <c r="G168" s="46"/>
    </row>
    <row r="169" ht="15.75" customHeight="1">
      <c r="A169" s="44"/>
      <c r="B169" s="44"/>
      <c r="C169" s="45"/>
      <c r="D169" s="44"/>
      <c r="E169" s="44"/>
      <c r="F169" s="44"/>
      <c r="G169" s="46"/>
    </row>
    <row r="170" ht="15.75" customHeight="1">
      <c r="A170" s="44"/>
      <c r="B170" s="44"/>
      <c r="C170" s="45"/>
      <c r="D170" s="44"/>
      <c r="E170" s="44"/>
      <c r="F170" s="44"/>
      <c r="G170" s="46"/>
    </row>
    <row r="171" ht="15.75" customHeight="1">
      <c r="A171" s="44"/>
      <c r="B171" s="44"/>
      <c r="C171" s="45"/>
      <c r="D171" s="44"/>
      <c r="E171" s="44"/>
      <c r="F171" s="44"/>
      <c r="G171" s="46"/>
    </row>
    <row r="172" ht="15.75" customHeight="1">
      <c r="A172" s="44"/>
      <c r="B172" s="44"/>
      <c r="C172" s="45"/>
      <c r="D172" s="44"/>
      <c r="E172" s="44"/>
      <c r="F172" s="44"/>
      <c r="G172" s="46"/>
    </row>
    <row r="173" ht="15.75" customHeight="1">
      <c r="A173" s="44"/>
      <c r="B173" s="44"/>
      <c r="C173" s="45"/>
      <c r="D173" s="44"/>
      <c r="E173" s="44"/>
      <c r="F173" s="44"/>
      <c r="G173" s="46"/>
    </row>
    <row r="174" ht="15.75" customHeight="1">
      <c r="A174" s="44"/>
      <c r="B174" s="44"/>
      <c r="C174" s="45"/>
      <c r="D174" s="44"/>
      <c r="E174" s="44"/>
      <c r="F174" s="44"/>
      <c r="G174" s="46"/>
    </row>
    <row r="175" ht="15.75" customHeight="1">
      <c r="A175" s="44"/>
      <c r="B175" s="44"/>
      <c r="C175" s="45"/>
      <c r="D175" s="44"/>
      <c r="E175" s="44"/>
      <c r="F175" s="44"/>
      <c r="G175" s="46"/>
    </row>
    <row r="176" ht="15.75" customHeight="1">
      <c r="A176" s="44"/>
      <c r="B176" s="44"/>
      <c r="C176" s="45"/>
      <c r="D176" s="44"/>
      <c r="E176" s="44"/>
      <c r="F176" s="44"/>
      <c r="G176" s="46"/>
    </row>
    <row r="177" ht="15.75" customHeight="1">
      <c r="A177" s="44"/>
      <c r="B177" s="44"/>
      <c r="C177" s="45"/>
      <c r="D177" s="44"/>
      <c r="E177" s="44"/>
      <c r="F177" s="44"/>
      <c r="G177" s="46"/>
    </row>
    <row r="178" ht="15.75" customHeight="1">
      <c r="A178" s="44"/>
      <c r="B178" s="44"/>
      <c r="C178" s="45"/>
      <c r="D178" s="44"/>
      <c r="E178" s="44"/>
      <c r="F178" s="44"/>
      <c r="G178" s="46"/>
    </row>
    <row r="179" ht="15.75" customHeight="1">
      <c r="A179" s="44"/>
      <c r="B179" s="44"/>
      <c r="C179" s="45"/>
      <c r="D179" s="44"/>
      <c r="E179" s="44"/>
      <c r="F179" s="44"/>
      <c r="G179" s="46"/>
    </row>
    <row r="180" ht="15.75" customHeight="1">
      <c r="A180" s="44"/>
      <c r="B180" s="44"/>
      <c r="C180" s="45"/>
      <c r="D180" s="44"/>
      <c r="E180" s="44"/>
      <c r="F180" s="44"/>
      <c r="G180" s="46"/>
    </row>
    <row r="181" ht="15.75" customHeight="1">
      <c r="A181" s="44"/>
      <c r="B181" s="44"/>
      <c r="C181" s="45"/>
      <c r="D181" s="44"/>
      <c r="E181" s="44"/>
      <c r="F181" s="44"/>
      <c r="G181" s="46"/>
    </row>
    <row r="182" ht="15.75" customHeight="1">
      <c r="A182" s="44"/>
      <c r="B182" s="44"/>
      <c r="C182" s="45"/>
      <c r="D182" s="44"/>
      <c r="E182" s="44"/>
      <c r="F182" s="44"/>
      <c r="G182" s="46"/>
    </row>
    <row r="183" ht="15.75" customHeight="1">
      <c r="A183" s="44"/>
      <c r="B183" s="44"/>
      <c r="C183" s="45"/>
      <c r="D183" s="44"/>
      <c r="E183" s="44"/>
      <c r="F183" s="44"/>
      <c r="G183" s="46"/>
    </row>
    <row r="184" ht="15.75" customHeight="1">
      <c r="A184" s="44"/>
      <c r="B184" s="44"/>
      <c r="C184" s="45"/>
      <c r="D184" s="44"/>
      <c r="E184" s="44"/>
      <c r="F184" s="44"/>
      <c r="G184" s="46"/>
    </row>
    <row r="185" ht="15.75" customHeight="1">
      <c r="A185" s="44"/>
      <c r="B185" s="44"/>
      <c r="C185" s="45"/>
      <c r="D185" s="44"/>
      <c r="E185" s="44"/>
      <c r="F185" s="44"/>
      <c r="G185" s="46"/>
    </row>
    <row r="186" ht="15.75" customHeight="1">
      <c r="A186" s="44"/>
      <c r="B186" s="44"/>
      <c r="C186" s="45"/>
      <c r="D186" s="44"/>
      <c r="E186" s="44"/>
      <c r="F186" s="44"/>
      <c r="G186" s="46"/>
    </row>
    <row r="187" ht="15.75" customHeight="1">
      <c r="A187" s="44"/>
      <c r="B187" s="44"/>
      <c r="C187" s="45"/>
      <c r="D187" s="44"/>
      <c r="E187" s="44"/>
      <c r="F187" s="44"/>
      <c r="G187" s="46"/>
    </row>
    <row r="188" ht="15.75" customHeight="1">
      <c r="A188" s="44"/>
      <c r="B188" s="44"/>
      <c r="C188" s="45"/>
      <c r="D188" s="44"/>
      <c r="E188" s="44"/>
      <c r="F188" s="44"/>
      <c r="G188" s="46"/>
    </row>
    <row r="189" ht="15.75" customHeight="1">
      <c r="A189" s="44"/>
      <c r="B189" s="44"/>
      <c r="C189" s="45"/>
      <c r="D189" s="44"/>
      <c r="E189" s="44"/>
      <c r="F189" s="44"/>
      <c r="G189" s="46"/>
    </row>
    <row r="190" ht="15.75" customHeight="1">
      <c r="A190" s="44"/>
      <c r="B190" s="44"/>
      <c r="C190" s="45"/>
      <c r="D190" s="44"/>
      <c r="E190" s="44"/>
      <c r="F190" s="44"/>
      <c r="G190" s="46"/>
    </row>
    <row r="191" ht="15.75" customHeight="1">
      <c r="A191" s="44"/>
      <c r="B191" s="44"/>
      <c r="C191" s="45"/>
      <c r="D191" s="44"/>
      <c r="E191" s="44"/>
      <c r="F191" s="44"/>
      <c r="G191" s="46"/>
    </row>
    <row r="192" ht="15.75" customHeight="1">
      <c r="A192" s="44"/>
      <c r="B192" s="44"/>
      <c r="C192" s="45"/>
      <c r="D192" s="44"/>
      <c r="E192" s="44"/>
      <c r="F192" s="44"/>
      <c r="G192" s="46"/>
    </row>
    <row r="193" ht="15.75" customHeight="1">
      <c r="A193" s="44"/>
      <c r="B193" s="44"/>
      <c r="C193" s="45"/>
      <c r="D193" s="44"/>
      <c r="E193" s="44"/>
      <c r="F193" s="44"/>
      <c r="G193" s="46"/>
    </row>
    <row r="194" ht="15.75" customHeight="1">
      <c r="A194" s="44"/>
      <c r="B194" s="44"/>
      <c r="C194" s="45"/>
      <c r="D194" s="44"/>
      <c r="E194" s="44"/>
      <c r="F194" s="44"/>
      <c r="G194" s="46"/>
    </row>
    <row r="195" ht="15.75" customHeight="1">
      <c r="A195" s="44"/>
      <c r="B195" s="44"/>
      <c r="C195" s="45"/>
      <c r="D195" s="44"/>
      <c r="E195" s="44"/>
      <c r="F195" s="44"/>
      <c r="G195" s="46"/>
    </row>
    <row r="196" ht="15.75" customHeight="1">
      <c r="A196" s="44"/>
      <c r="B196" s="44"/>
      <c r="C196" s="45"/>
      <c r="D196" s="44"/>
      <c r="E196" s="44"/>
      <c r="F196" s="44"/>
      <c r="G196" s="46"/>
    </row>
    <row r="197" ht="15.75" customHeight="1">
      <c r="A197" s="44"/>
      <c r="B197" s="44"/>
      <c r="C197" s="45"/>
      <c r="D197" s="44"/>
      <c r="E197" s="44"/>
      <c r="F197" s="44"/>
      <c r="G197" s="46"/>
    </row>
    <row r="198" ht="15.75" customHeight="1">
      <c r="A198" s="44"/>
      <c r="B198" s="44"/>
      <c r="C198" s="45"/>
      <c r="D198" s="44"/>
      <c r="E198" s="44"/>
      <c r="F198" s="44"/>
      <c r="G198" s="46"/>
    </row>
    <row r="199" ht="15.75" customHeight="1">
      <c r="A199" s="44"/>
      <c r="B199" s="44"/>
      <c r="C199" s="45"/>
      <c r="D199" s="44"/>
      <c r="E199" s="44"/>
      <c r="F199" s="44"/>
      <c r="G199" s="46"/>
    </row>
    <row r="200" ht="15.75" customHeight="1">
      <c r="A200" s="44"/>
      <c r="B200" s="44"/>
      <c r="C200" s="45"/>
      <c r="D200" s="44"/>
      <c r="E200" s="44"/>
      <c r="F200" s="44"/>
      <c r="G200" s="46"/>
    </row>
    <row r="201" ht="15.75" customHeight="1">
      <c r="A201" s="44"/>
      <c r="B201" s="44"/>
      <c r="C201" s="45"/>
      <c r="D201" s="44"/>
      <c r="E201" s="44"/>
      <c r="F201" s="44"/>
      <c r="G201" s="46"/>
    </row>
    <row r="202" ht="15.75" customHeight="1">
      <c r="A202" s="44"/>
      <c r="B202" s="44"/>
      <c r="C202" s="45"/>
      <c r="D202" s="44"/>
      <c r="E202" s="44"/>
      <c r="F202" s="44"/>
      <c r="G202" s="46"/>
    </row>
    <row r="203" ht="15.75" customHeight="1">
      <c r="A203" s="44"/>
      <c r="B203" s="44"/>
      <c r="C203" s="45"/>
      <c r="D203" s="44"/>
      <c r="E203" s="44"/>
      <c r="F203" s="44"/>
      <c r="G203" s="46"/>
    </row>
    <row r="204" ht="15.75" customHeight="1">
      <c r="A204" s="44"/>
      <c r="B204" s="44"/>
      <c r="C204" s="45"/>
      <c r="D204" s="44"/>
      <c r="E204" s="44"/>
      <c r="F204" s="44"/>
      <c r="G204" s="46"/>
    </row>
    <row r="205" ht="15.75" customHeight="1">
      <c r="A205" s="44"/>
      <c r="B205" s="44"/>
      <c r="C205" s="45"/>
      <c r="D205" s="44"/>
      <c r="E205" s="44"/>
      <c r="F205" s="44"/>
      <c r="G205" s="46"/>
    </row>
    <row r="206" ht="15.75" customHeight="1">
      <c r="A206" s="44"/>
      <c r="B206" s="44"/>
      <c r="C206" s="45"/>
      <c r="D206" s="44"/>
      <c r="E206" s="44"/>
      <c r="F206" s="44"/>
      <c r="G206" s="46"/>
    </row>
    <row r="207" ht="15.75" customHeight="1">
      <c r="A207" s="44"/>
      <c r="B207" s="44"/>
      <c r="C207" s="45"/>
      <c r="D207" s="44"/>
      <c r="E207" s="44"/>
      <c r="F207" s="44"/>
      <c r="G207" s="46"/>
    </row>
    <row r="208" ht="15.75" customHeight="1">
      <c r="A208" s="44"/>
      <c r="B208" s="44"/>
      <c r="C208" s="45"/>
      <c r="D208" s="44"/>
      <c r="E208" s="44"/>
      <c r="F208" s="44"/>
      <c r="G208" s="46"/>
    </row>
    <row r="209" ht="15.75" customHeight="1">
      <c r="A209" s="44"/>
      <c r="B209" s="44"/>
      <c r="C209" s="45"/>
      <c r="D209" s="44"/>
      <c r="E209" s="44"/>
      <c r="F209" s="44"/>
      <c r="G209" s="46"/>
    </row>
    <row r="210" ht="15.75" customHeight="1">
      <c r="A210" s="44"/>
      <c r="B210" s="44"/>
      <c r="C210" s="45"/>
      <c r="D210" s="44"/>
      <c r="E210" s="44"/>
      <c r="F210" s="44"/>
      <c r="G210" s="46"/>
    </row>
    <row r="211" ht="15.75" customHeight="1">
      <c r="A211" s="44"/>
      <c r="B211" s="44"/>
      <c r="C211" s="45"/>
      <c r="D211" s="44"/>
      <c r="E211" s="44"/>
      <c r="F211" s="44"/>
      <c r="G211" s="46"/>
    </row>
    <row r="212" ht="15.75" customHeight="1">
      <c r="A212" s="44"/>
      <c r="B212" s="44"/>
      <c r="C212" s="45"/>
      <c r="D212" s="44"/>
      <c r="E212" s="44"/>
      <c r="F212" s="44"/>
      <c r="G212" s="46"/>
    </row>
    <row r="213" ht="15.75" customHeight="1">
      <c r="A213" s="44"/>
      <c r="B213" s="44"/>
      <c r="C213" s="45"/>
      <c r="D213" s="44"/>
      <c r="E213" s="44"/>
      <c r="F213" s="44"/>
      <c r="G213" s="46"/>
    </row>
    <row r="214" ht="15.75" customHeight="1">
      <c r="A214" s="44"/>
      <c r="B214" s="44"/>
      <c r="C214" s="45"/>
      <c r="D214" s="44"/>
      <c r="E214" s="44"/>
      <c r="F214" s="44"/>
      <c r="G214" s="46"/>
    </row>
    <row r="215" ht="15.75" customHeight="1">
      <c r="A215" s="44"/>
      <c r="B215" s="44"/>
      <c r="C215" s="45"/>
      <c r="D215" s="44"/>
      <c r="E215" s="44"/>
      <c r="F215" s="44"/>
      <c r="G215" s="46"/>
    </row>
    <row r="216" ht="15.75" customHeight="1">
      <c r="A216" s="44"/>
      <c r="B216" s="44"/>
      <c r="C216" s="45"/>
      <c r="D216" s="44"/>
      <c r="E216" s="44"/>
      <c r="F216" s="44"/>
      <c r="G216" s="46"/>
    </row>
    <row r="217" ht="15.75" customHeight="1">
      <c r="A217" s="44"/>
      <c r="B217" s="44"/>
      <c r="C217" s="45"/>
      <c r="D217" s="44"/>
      <c r="E217" s="44"/>
      <c r="F217" s="44"/>
      <c r="G217" s="46"/>
    </row>
    <row r="218" ht="15.75" customHeight="1">
      <c r="A218" s="44"/>
      <c r="B218" s="44"/>
      <c r="C218" s="45"/>
      <c r="D218" s="44"/>
      <c r="E218" s="44"/>
      <c r="F218" s="44"/>
      <c r="G218" s="46"/>
    </row>
    <row r="219" ht="15.75" customHeight="1">
      <c r="A219" s="44"/>
      <c r="B219" s="44"/>
      <c r="C219" s="45"/>
      <c r="D219" s="44"/>
      <c r="E219" s="44"/>
      <c r="F219" s="44"/>
      <c r="G219" s="46"/>
    </row>
    <row r="220" ht="15.75" customHeight="1">
      <c r="A220" s="44"/>
      <c r="B220" s="44"/>
      <c r="C220" s="45"/>
      <c r="D220" s="44"/>
      <c r="E220" s="44"/>
      <c r="F220" s="44"/>
      <c r="G220" s="46"/>
    </row>
    <row r="221" ht="15.75" customHeight="1">
      <c r="A221" s="44"/>
      <c r="B221" s="44"/>
      <c r="C221" s="45"/>
      <c r="D221" s="44"/>
      <c r="E221" s="44"/>
      <c r="F221" s="44"/>
      <c r="G221" s="46"/>
    </row>
    <row r="222" ht="15.75" customHeight="1">
      <c r="A222" s="44"/>
      <c r="B222" s="44"/>
      <c r="C222" s="45"/>
      <c r="D222" s="44"/>
      <c r="E222" s="44"/>
      <c r="F222" s="44"/>
      <c r="G222" s="46"/>
    </row>
    <row r="223" ht="15.75" customHeight="1">
      <c r="A223" s="44"/>
      <c r="B223" s="44"/>
      <c r="C223" s="45"/>
      <c r="D223" s="44"/>
      <c r="E223" s="44"/>
      <c r="F223" s="44"/>
      <c r="G223" s="46"/>
    </row>
    <row r="224" ht="15.75" customHeight="1">
      <c r="A224" s="44"/>
      <c r="B224" s="44"/>
      <c r="C224" s="45"/>
      <c r="D224" s="44"/>
      <c r="E224" s="44"/>
      <c r="F224" s="44"/>
      <c r="G224" s="46"/>
    </row>
    <row r="225" ht="15.75" customHeight="1">
      <c r="A225" s="44"/>
      <c r="B225" s="44"/>
      <c r="C225" s="45"/>
      <c r="D225" s="44"/>
      <c r="E225" s="44"/>
      <c r="F225" s="44"/>
      <c r="G225" s="46"/>
    </row>
    <row r="226" ht="15.75" customHeight="1">
      <c r="A226" s="44"/>
      <c r="B226" s="44"/>
      <c r="C226" s="45"/>
      <c r="D226" s="44"/>
      <c r="E226" s="44"/>
      <c r="F226" s="44"/>
      <c r="G226" s="46"/>
    </row>
    <row r="227" ht="15.75" customHeight="1">
      <c r="A227" s="44"/>
      <c r="B227" s="44"/>
      <c r="C227" s="45"/>
      <c r="D227" s="44"/>
      <c r="E227" s="44"/>
      <c r="F227" s="44"/>
      <c r="G227" s="46"/>
    </row>
    <row r="228" ht="15.75" customHeight="1">
      <c r="A228" s="44"/>
      <c r="B228" s="44"/>
      <c r="C228" s="45"/>
      <c r="D228" s="44"/>
      <c r="E228" s="44"/>
      <c r="F228" s="44"/>
      <c r="G228" s="46"/>
    </row>
    <row r="229" ht="15.75" customHeight="1">
      <c r="A229" s="44"/>
      <c r="B229" s="44"/>
      <c r="C229" s="45"/>
      <c r="D229" s="44"/>
      <c r="E229" s="44"/>
      <c r="F229" s="44"/>
      <c r="G229" s="46"/>
    </row>
    <row r="230" ht="15.75" customHeight="1">
      <c r="A230" s="44"/>
      <c r="B230" s="44"/>
      <c r="C230" s="45"/>
      <c r="D230" s="44"/>
      <c r="E230" s="44"/>
      <c r="F230" s="44"/>
      <c r="G230" s="46"/>
    </row>
    <row r="231" ht="15.75" customHeight="1">
      <c r="A231" s="44"/>
      <c r="B231" s="44"/>
      <c r="C231" s="45"/>
      <c r="D231" s="44"/>
      <c r="E231" s="44"/>
      <c r="F231" s="44"/>
      <c r="G231" s="46"/>
    </row>
    <row r="232" ht="15.75" customHeight="1">
      <c r="A232" s="44"/>
      <c r="B232" s="44"/>
      <c r="C232" s="45"/>
      <c r="D232" s="44"/>
      <c r="E232" s="44"/>
      <c r="F232" s="44"/>
      <c r="G232" s="46"/>
    </row>
    <row r="233" ht="15.75" customHeight="1">
      <c r="A233" s="44"/>
      <c r="B233" s="44"/>
      <c r="C233" s="45"/>
      <c r="D233" s="44"/>
      <c r="E233" s="44"/>
      <c r="F233" s="44"/>
      <c r="G233" s="46"/>
    </row>
    <row r="234" ht="15.75" customHeight="1">
      <c r="A234" s="44"/>
      <c r="B234" s="44"/>
      <c r="C234" s="45"/>
      <c r="D234" s="44"/>
      <c r="E234" s="44"/>
      <c r="F234" s="44"/>
      <c r="G234" s="46"/>
    </row>
    <row r="235" ht="15.75" customHeight="1">
      <c r="A235" s="44"/>
      <c r="B235" s="44"/>
      <c r="C235" s="45"/>
      <c r="D235" s="44"/>
      <c r="E235" s="44"/>
      <c r="F235" s="44"/>
      <c r="G235" s="46"/>
    </row>
    <row r="236" ht="15.75" customHeight="1">
      <c r="A236" s="44"/>
      <c r="B236" s="44"/>
      <c r="C236" s="45"/>
      <c r="D236" s="44"/>
      <c r="E236" s="44"/>
      <c r="F236" s="44"/>
      <c r="G236" s="46"/>
    </row>
    <row r="237" ht="15.75" customHeight="1">
      <c r="A237" s="44"/>
      <c r="B237" s="44"/>
      <c r="C237" s="45"/>
      <c r="D237" s="44"/>
      <c r="E237" s="44"/>
      <c r="F237" s="44"/>
      <c r="G237" s="46"/>
    </row>
    <row r="238" ht="15.75" customHeight="1">
      <c r="A238" s="44"/>
      <c r="B238" s="44"/>
      <c r="C238" s="45"/>
      <c r="D238" s="44"/>
      <c r="E238" s="44"/>
      <c r="F238" s="44"/>
      <c r="G238" s="46"/>
    </row>
    <row r="239" ht="15.75" customHeight="1">
      <c r="A239" s="44"/>
      <c r="B239" s="44"/>
      <c r="C239" s="45"/>
      <c r="D239" s="44"/>
      <c r="E239" s="44"/>
      <c r="F239" s="44"/>
      <c r="G239" s="46"/>
    </row>
    <row r="240" ht="15.75" customHeight="1">
      <c r="A240" s="44"/>
      <c r="B240" s="44"/>
      <c r="C240" s="45"/>
      <c r="D240" s="44"/>
      <c r="E240" s="44"/>
      <c r="F240" s="44"/>
      <c r="G240" s="46"/>
    </row>
    <row r="241" ht="15.75" customHeight="1">
      <c r="A241" s="44"/>
      <c r="B241" s="44"/>
      <c r="C241" s="45"/>
      <c r="D241" s="44"/>
      <c r="E241" s="44"/>
      <c r="F241" s="44"/>
      <c r="G241" s="46"/>
    </row>
    <row r="242" ht="15.75" customHeight="1">
      <c r="A242" s="44"/>
      <c r="B242" s="44"/>
      <c r="C242" s="45"/>
      <c r="D242" s="44"/>
      <c r="E242" s="44"/>
      <c r="F242" s="44"/>
      <c r="G242" s="46"/>
    </row>
    <row r="243" ht="15.75" customHeight="1">
      <c r="A243" s="44"/>
      <c r="B243" s="44"/>
      <c r="C243" s="45"/>
      <c r="D243" s="44"/>
      <c r="E243" s="44"/>
      <c r="F243" s="44"/>
      <c r="G243" s="46"/>
    </row>
    <row r="244" ht="15.75" customHeight="1">
      <c r="A244" s="44"/>
      <c r="B244" s="44"/>
      <c r="C244" s="45"/>
      <c r="D244" s="44"/>
      <c r="E244" s="44"/>
      <c r="F244" s="44"/>
      <c r="G244" s="46"/>
    </row>
    <row r="245" ht="15.75" customHeight="1">
      <c r="A245" s="44"/>
      <c r="B245" s="44"/>
      <c r="C245" s="45"/>
      <c r="D245" s="44"/>
      <c r="E245" s="44"/>
      <c r="F245" s="44"/>
      <c r="G245" s="46"/>
    </row>
    <row r="246" ht="15.75" customHeight="1">
      <c r="A246" s="44"/>
      <c r="B246" s="44"/>
      <c r="C246" s="45"/>
      <c r="D246" s="44"/>
      <c r="E246" s="44"/>
      <c r="F246" s="44"/>
      <c r="G246" s="46"/>
    </row>
    <row r="247" ht="15.75" customHeight="1">
      <c r="A247" s="44"/>
      <c r="B247" s="44"/>
      <c r="C247" s="45"/>
      <c r="D247" s="44"/>
      <c r="E247" s="44"/>
      <c r="F247" s="44"/>
      <c r="G247" s="46"/>
    </row>
    <row r="248" ht="15.75" customHeight="1">
      <c r="A248" s="44"/>
      <c r="B248" s="44"/>
      <c r="C248" s="45"/>
      <c r="D248" s="44"/>
      <c r="E248" s="44"/>
      <c r="F248" s="44"/>
      <c r="G248" s="46"/>
    </row>
    <row r="249" ht="15.75" customHeight="1">
      <c r="A249" s="44"/>
      <c r="B249" s="44"/>
      <c r="C249" s="45"/>
      <c r="D249" s="44"/>
      <c r="E249" s="44"/>
      <c r="F249" s="44"/>
      <c r="G249" s="46"/>
    </row>
    <row r="250" ht="15.75" customHeight="1">
      <c r="A250" s="44"/>
      <c r="B250" s="44"/>
      <c r="C250" s="45"/>
      <c r="D250" s="44"/>
      <c r="E250" s="44"/>
      <c r="F250" s="44"/>
      <c r="G250" s="46"/>
    </row>
    <row r="251" ht="15.75" customHeight="1">
      <c r="A251" s="44"/>
      <c r="B251" s="44"/>
      <c r="C251" s="45"/>
      <c r="D251" s="44"/>
      <c r="E251" s="44"/>
      <c r="F251" s="44"/>
      <c r="G251" s="46"/>
    </row>
    <row r="252" ht="15.75" customHeight="1">
      <c r="A252" s="44"/>
      <c r="B252" s="44"/>
      <c r="C252" s="45"/>
      <c r="D252" s="44"/>
      <c r="E252" s="44"/>
      <c r="F252" s="44"/>
      <c r="G252" s="46"/>
    </row>
    <row r="253" ht="15.75" customHeight="1">
      <c r="A253" s="44"/>
      <c r="B253" s="44"/>
      <c r="C253" s="45"/>
      <c r="D253" s="44"/>
      <c r="E253" s="44"/>
      <c r="F253" s="44"/>
      <c r="G253" s="46"/>
    </row>
    <row r="254" ht="15.75" customHeight="1">
      <c r="A254" s="44"/>
      <c r="B254" s="44"/>
      <c r="C254" s="45"/>
      <c r="D254" s="44"/>
      <c r="E254" s="44"/>
      <c r="F254" s="44"/>
      <c r="G254" s="46"/>
    </row>
    <row r="255" ht="15.75" customHeight="1">
      <c r="A255" s="44"/>
      <c r="B255" s="44"/>
      <c r="C255" s="45"/>
      <c r="D255" s="44"/>
      <c r="E255" s="44"/>
      <c r="F255" s="44"/>
      <c r="G255" s="46"/>
    </row>
    <row r="256" ht="15.75" customHeight="1">
      <c r="A256" s="44"/>
      <c r="B256" s="44"/>
      <c r="C256" s="45"/>
      <c r="D256" s="44"/>
      <c r="E256" s="44"/>
      <c r="F256" s="44"/>
      <c r="G256" s="46"/>
    </row>
    <row r="257" ht="15.75" customHeight="1">
      <c r="A257" s="44"/>
      <c r="B257" s="44"/>
      <c r="C257" s="45"/>
      <c r="D257" s="44"/>
      <c r="E257" s="44"/>
      <c r="F257" s="44"/>
      <c r="G257" s="46"/>
    </row>
    <row r="258" ht="15.75" customHeight="1">
      <c r="A258" s="44"/>
      <c r="B258" s="44"/>
      <c r="C258" s="45"/>
      <c r="D258" s="44"/>
      <c r="E258" s="44"/>
      <c r="F258" s="44"/>
      <c r="G258" s="46"/>
    </row>
    <row r="259" ht="15.75" customHeight="1">
      <c r="A259" s="44"/>
      <c r="B259" s="44"/>
      <c r="C259" s="45"/>
      <c r="D259" s="44"/>
      <c r="E259" s="44"/>
      <c r="F259" s="44"/>
      <c r="G259" s="46"/>
    </row>
    <row r="260" ht="15.75" customHeight="1">
      <c r="A260" s="44"/>
      <c r="B260" s="44"/>
      <c r="C260" s="45"/>
      <c r="D260" s="44"/>
      <c r="E260" s="44"/>
      <c r="F260" s="44"/>
      <c r="G260" s="46"/>
    </row>
    <row r="261" ht="15.75" customHeight="1">
      <c r="A261" s="44"/>
      <c r="B261" s="44"/>
      <c r="C261" s="45"/>
      <c r="D261" s="44"/>
      <c r="E261" s="44"/>
      <c r="F261" s="44"/>
      <c r="G261" s="46"/>
    </row>
    <row r="262" ht="15.75" customHeight="1">
      <c r="A262" s="44"/>
      <c r="B262" s="44"/>
      <c r="C262" s="45"/>
      <c r="D262" s="44"/>
      <c r="E262" s="44"/>
      <c r="F262" s="44"/>
      <c r="G262" s="46"/>
    </row>
    <row r="263" ht="15.75" customHeight="1">
      <c r="A263" s="44"/>
      <c r="B263" s="44"/>
      <c r="C263" s="45"/>
      <c r="D263" s="44"/>
      <c r="E263" s="44"/>
      <c r="F263" s="44"/>
      <c r="G263" s="46"/>
    </row>
    <row r="264" ht="15.75" customHeight="1">
      <c r="A264" s="44"/>
      <c r="B264" s="44"/>
      <c r="C264" s="45"/>
      <c r="D264" s="44"/>
      <c r="E264" s="44"/>
      <c r="F264" s="44"/>
      <c r="G264" s="46"/>
    </row>
    <row r="265" ht="15.75" customHeight="1">
      <c r="A265" s="44"/>
      <c r="B265" s="44"/>
      <c r="C265" s="45"/>
      <c r="D265" s="44"/>
      <c r="E265" s="44"/>
      <c r="F265" s="44"/>
      <c r="G265" s="46"/>
    </row>
    <row r="266" ht="15.75" customHeight="1">
      <c r="A266" s="44"/>
      <c r="B266" s="44"/>
      <c r="C266" s="45"/>
      <c r="D266" s="44"/>
      <c r="E266" s="44"/>
      <c r="F266" s="44"/>
      <c r="G266" s="46"/>
    </row>
    <row r="267" ht="15.75" customHeight="1">
      <c r="A267" s="44"/>
      <c r="B267" s="44"/>
      <c r="C267" s="45"/>
      <c r="D267" s="44"/>
      <c r="E267" s="44"/>
      <c r="F267" s="44"/>
      <c r="G267" s="46"/>
    </row>
    <row r="268" ht="15.75" customHeight="1">
      <c r="A268" s="44"/>
      <c r="B268" s="44"/>
      <c r="C268" s="45"/>
      <c r="D268" s="44"/>
      <c r="E268" s="44"/>
      <c r="F268" s="44"/>
      <c r="G268" s="46"/>
    </row>
    <row r="269" ht="15.75" customHeight="1">
      <c r="A269" s="44"/>
      <c r="B269" s="44"/>
      <c r="C269" s="45"/>
      <c r="D269" s="44"/>
      <c r="E269" s="44"/>
      <c r="F269" s="44"/>
      <c r="G269" s="46"/>
    </row>
    <row r="270" ht="15.75" customHeight="1">
      <c r="A270" s="44"/>
      <c r="B270" s="44"/>
      <c r="C270" s="45"/>
      <c r="D270" s="44"/>
      <c r="E270" s="44"/>
      <c r="F270" s="44"/>
      <c r="G270" s="46"/>
    </row>
    <row r="271" ht="15.75" customHeight="1">
      <c r="A271" s="44"/>
      <c r="B271" s="44"/>
      <c r="C271" s="45"/>
      <c r="D271" s="44"/>
      <c r="E271" s="44"/>
      <c r="F271" s="44"/>
      <c r="G271" s="46"/>
    </row>
    <row r="272" ht="15.75" customHeight="1">
      <c r="A272" s="44"/>
      <c r="B272" s="44"/>
      <c r="C272" s="45"/>
      <c r="D272" s="44"/>
      <c r="E272" s="44"/>
      <c r="F272" s="44"/>
      <c r="G272" s="46"/>
    </row>
    <row r="273" ht="15.75" customHeight="1">
      <c r="A273" s="44"/>
      <c r="B273" s="44"/>
      <c r="C273" s="45"/>
      <c r="D273" s="44"/>
      <c r="E273" s="44"/>
      <c r="F273" s="44"/>
      <c r="G273" s="46"/>
    </row>
    <row r="274" ht="15.75" customHeight="1">
      <c r="A274" s="44"/>
      <c r="B274" s="44"/>
      <c r="C274" s="45"/>
      <c r="D274" s="44"/>
      <c r="E274" s="44"/>
      <c r="F274" s="44"/>
      <c r="G274" s="46"/>
    </row>
    <row r="275" ht="15.75" customHeight="1">
      <c r="G275" s="46"/>
    </row>
    <row r="276" ht="15.75" customHeight="1">
      <c r="G276" s="46"/>
    </row>
    <row r="277" ht="15.75" customHeight="1">
      <c r="G277" s="46"/>
    </row>
    <row r="278" ht="15.75" customHeight="1">
      <c r="G278" s="46"/>
    </row>
    <row r="279" ht="15.75" customHeight="1">
      <c r="G279" s="46"/>
    </row>
    <row r="280" ht="15.75" customHeight="1">
      <c r="G280" s="46"/>
    </row>
    <row r="281" ht="15.75" customHeight="1">
      <c r="G281" s="46"/>
    </row>
    <row r="282" ht="15.75" customHeight="1">
      <c r="G282" s="46"/>
    </row>
    <row r="283" ht="15.75" customHeight="1">
      <c r="G283" s="46"/>
    </row>
    <row r="284" ht="15.75" customHeight="1">
      <c r="G284" s="46"/>
    </row>
    <row r="285" ht="15.75" customHeight="1">
      <c r="G285" s="46"/>
    </row>
    <row r="286" ht="15.75" customHeight="1">
      <c r="G286" s="46"/>
    </row>
    <row r="287" ht="15.75" customHeight="1">
      <c r="G287" s="46"/>
    </row>
    <row r="288" ht="15.75" customHeight="1">
      <c r="G288" s="46"/>
    </row>
    <row r="289" ht="15.75" customHeight="1">
      <c r="G289" s="46"/>
    </row>
    <row r="290" ht="15.75" customHeight="1">
      <c r="G290" s="46"/>
    </row>
    <row r="291" ht="15.75" customHeight="1">
      <c r="G291" s="46"/>
    </row>
    <row r="292" ht="15.75" customHeight="1">
      <c r="G292" s="46"/>
    </row>
    <row r="293" ht="15.75" customHeight="1">
      <c r="G293" s="46"/>
    </row>
    <row r="294" ht="15.75" customHeight="1">
      <c r="G294" s="46"/>
    </row>
    <row r="295" ht="15.75" customHeight="1">
      <c r="G295" s="46"/>
    </row>
    <row r="296" ht="15.75" customHeight="1">
      <c r="G296" s="46"/>
    </row>
    <row r="297" ht="15.75" customHeight="1">
      <c r="G297" s="46"/>
    </row>
    <row r="298" ht="15.75" customHeight="1">
      <c r="G298" s="46"/>
    </row>
    <row r="299" ht="15.75" customHeight="1">
      <c r="G299" s="46"/>
    </row>
    <row r="300" ht="15.75" customHeight="1">
      <c r="G300" s="46"/>
    </row>
    <row r="301" ht="15.75" customHeight="1">
      <c r="G301" s="46"/>
    </row>
    <row r="302" ht="15.75" customHeight="1">
      <c r="G302" s="46"/>
    </row>
    <row r="303" ht="15.75" customHeight="1">
      <c r="G303" s="46"/>
    </row>
    <row r="304" ht="15.75" customHeight="1">
      <c r="G304" s="46"/>
    </row>
    <row r="305" ht="15.75" customHeight="1">
      <c r="G305" s="46"/>
    </row>
    <row r="306" ht="15.75" customHeight="1">
      <c r="G306" s="46"/>
    </row>
    <row r="307" ht="15.75" customHeight="1">
      <c r="G307" s="46"/>
    </row>
    <row r="308" ht="15.75" customHeight="1">
      <c r="G308" s="46"/>
    </row>
    <row r="309" ht="15.75" customHeight="1">
      <c r="G309" s="46"/>
    </row>
    <row r="310" ht="15.75" customHeight="1">
      <c r="G310" s="46"/>
    </row>
    <row r="311" ht="15.75" customHeight="1">
      <c r="G311" s="46"/>
    </row>
    <row r="312" ht="15.75" customHeight="1">
      <c r="G312" s="46"/>
    </row>
    <row r="313" ht="15.75" customHeight="1">
      <c r="G313" s="46"/>
    </row>
    <row r="314" ht="15.75" customHeight="1">
      <c r="G314" s="46"/>
    </row>
    <row r="315" ht="15.75" customHeight="1">
      <c r="G315" s="46"/>
    </row>
    <row r="316" ht="15.75" customHeight="1">
      <c r="G316" s="46"/>
    </row>
    <row r="317" ht="15.75" customHeight="1">
      <c r="G317" s="46"/>
    </row>
    <row r="318" ht="15.75" customHeight="1">
      <c r="G318" s="46"/>
    </row>
    <row r="319" ht="15.75" customHeight="1">
      <c r="G319" s="46"/>
    </row>
    <row r="320" ht="15.75" customHeight="1">
      <c r="G320" s="46"/>
    </row>
    <row r="321" ht="15.75" customHeight="1">
      <c r="G321" s="46"/>
    </row>
    <row r="322" ht="15.75" customHeight="1">
      <c r="G322" s="46"/>
    </row>
    <row r="323" ht="15.75" customHeight="1">
      <c r="G323" s="46"/>
    </row>
    <row r="324" ht="15.75" customHeight="1">
      <c r="G324" s="46"/>
    </row>
    <row r="325" ht="15.75" customHeight="1">
      <c r="G325" s="46"/>
    </row>
    <row r="326" ht="15.75" customHeight="1">
      <c r="G326" s="46"/>
    </row>
    <row r="327" ht="15.75" customHeight="1">
      <c r="G327" s="46"/>
    </row>
    <row r="328" ht="15.75" customHeight="1">
      <c r="G328" s="46"/>
    </row>
    <row r="329" ht="15.75" customHeight="1">
      <c r="G329" s="46"/>
    </row>
    <row r="330" ht="15.75" customHeight="1">
      <c r="G330" s="46"/>
    </row>
    <row r="331" ht="15.75" customHeight="1">
      <c r="G331" s="46"/>
    </row>
    <row r="332" ht="15.75" customHeight="1">
      <c r="G332" s="46"/>
    </row>
    <row r="333" ht="15.75" customHeight="1">
      <c r="G333" s="46"/>
    </row>
    <row r="334" ht="15.75" customHeight="1">
      <c r="G334" s="46"/>
    </row>
    <row r="335" ht="15.75" customHeight="1">
      <c r="G335" s="46"/>
    </row>
    <row r="336" ht="15.75" customHeight="1">
      <c r="G336" s="46"/>
    </row>
    <row r="337" ht="15.75" customHeight="1">
      <c r="G337" s="46"/>
    </row>
    <row r="338" ht="15.75" customHeight="1">
      <c r="G338" s="46"/>
    </row>
    <row r="339" ht="15.75" customHeight="1">
      <c r="G339" s="46"/>
    </row>
    <row r="340" ht="15.75" customHeight="1">
      <c r="G340" s="46"/>
    </row>
    <row r="341" ht="15.75" customHeight="1">
      <c r="G341" s="46"/>
    </row>
    <row r="342" ht="15.75" customHeight="1">
      <c r="G342" s="46"/>
    </row>
    <row r="343" ht="15.75" customHeight="1">
      <c r="G343" s="46"/>
    </row>
    <row r="344" ht="15.75" customHeight="1">
      <c r="G344" s="46"/>
    </row>
    <row r="345" ht="15.75" customHeight="1">
      <c r="G345" s="46"/>
    </row>
    <row r="346" ht="15.75" customHeight="1">
      <c r="G346" s="46"/>
    </row>
    <row r="347" ht="15.75" customHeight="1">
      <c r="G347" s="46"/>
    </row>
    <row r="348" ht="15.75" customHeight="1">
      <c r="G348" s="46"/>
    </row>
    <row r="349" ht="15.75" customHeight="1">
      <c r="G349" s="46"/>
    </row>
    <row r="350" ht="15.75" customHeight="1">
      <c r="G350" s="46"/>
    </row>
    <row r="351" ht="15.75" customHeight="1">
      <c r="G351" s="46"/>
    </row>
    <row r="352" ht="15.75" customHeight="1">
      <c r="G352" s="46"/>
    </row>
    <row r="353" ht="15.75" customHeight="1">
      <c r="G353" s="46"/>
    </row>
    <row r="354" ht="15.75" customHeight="1">
      <c r="G354" s="46"/>
    </row>
    <row r="355" ht="15.75" customHeight="1">
      <c r="G355" s="46"/>
    </row>
    <row r="356" ht="15.75" customHeight="1">
      <c r="G356" s="46"/>
    </row>
    <row r="357" ht="15.75" customHeight="1">
      <c r="G357" s="46"/>
    </row>
    <row r="358" ht="15.75" customHeight="1">
      <c r="G358" s="46"/>
    </row>
    <row r="359" ht="15.75" customHeight="1">
      <c r="G359" s="46"/>
    </row>
    <row r="360" ht="15.75" customHeight="1">
      <c r="G360" s="46"/>
    </row>
    <row r="361" ht="15.75" customHeight="1">
      <c r="G361" s="46"/>
    </row>
    <row r="362" ht="15.75" customHeight="1">
      <c r="G362" s="46"/>
    </row>
    <row r="363" ht="15.75" customHeight="1">
      <c r="G363" s="46"/>
    </row>
    <row r="364" ht="15.75" customHeight="1">
      <c r="G364" s="46"/>
    </row>
    <row r="365" ht="15.75" customHeight="1">
      <c r="G365" s="46"/>
    </row>
    <row r="366" ht="15.75" customHeight="1">
      <c r="G366" s="46"/>
    </row>
    <row r="367" ht="15.75" customHeight="1">
      <c r="G367" s="46"/>
    </row>
    <row r="368" ht="15.75" customHeight="1">
      <c r="G368" s="46"/>
    </row>
    <row r="369" ht="15.75" customHeight="1">
      <c r="G369" s="46"/>
    </row>
    <row r="370" ht="15.75" customHeight="1">
      <c r="G370" s="46"/>
    </row>
    <row r="371" ht="15.75" customHeight="1">
      <c r="G371" s="46"/>
    </row>
    <row r="372" ht="15.75" customHeight="1">
      <c r="G372" s="46"/>
    </row>
    <row r="373" ht="15.75" customHeight="1">
      <c r="G373" s="46"/>
    </row>
    <row r="374" ht="15.75" customHeight="1">
      <c r="G374" s="46"/>
    </row>
    <row r="375" ht="15.75" customHeight="1">
      <c r="G375" s="46"/>
    </row>
    <row r="376" ht="15.75" customHeight="1">
      <c r="G376" s="46"/>
    </row>
    <row r="377" ht="15.75" customHeight="1">
      <c r="G377" s="46"/>
    </row>
    <row r="378" ht="15.75" customHeight="1">
      <c r="G378" s="46"/>
    </row>
    <row r="379" ht="15.75" customHeight="1">
      <c r="G379" s="46"/>
    </row>
    <row r="380" ht="15.75" customHeight="1">
      <c r="G380" s="46"/>
    </row>
    <row r="381" ht="15.75" customHeight="1">
      <c r="G381" s="46"/>
    </row>
    <row r="382" ht="15.75" customHeight="1">
      <c r="G382" s="46"/>
    </row>
    <row r="383" ht="15.75" customHeight="1">
      <c r="G383" s="46"/>
    </row>
    <row r="384" ht="15.75" customHeight="1">
      <c r="G384" s="46"/>
    </row>
    <row r="385" ht="15.75" customHeight="1">
      <c r="G385" s="46"/>
    </row>
    <row r="386" ht="15.75" customHeight="1">
      <c r="G386" s="46"/>
    </row>
    <row r="387" ht="15.75" customHeight="1">
      <c r="G387" s="46"/>
    </row>
    <row r="388" ht="15.75" customHeight="1">
      <c r="G388" s="46"/>
    </row>
    <row r="389" ht="15.75" customHeight="1">
      <c r="G389" s="46"/>
    </row>
    <row r="390" ht="15.75" customHeight="1">
      <c r="G390" s="46"/>
    </row>
    <row r="391" ht="15.75" customHeight="1">
      <c r="G391" s="46"/>
    </row>
    <row r="392" ht="15.75" customHeight="1">
      <c r="G392" s="46"/>
    </row>
    <row r="393" ht="15.75" customHeight="1">
      <c r="G393" s="46"/>
    </row>
    <row r="394" ht="15.75" customHeight="1">
      <c r="G394" s="46"/>
    </row>
    <row r="395" ht="15.75" customHeight="1">
      <c r="G395" s="46"/>
    </row>
    <row r="396" ht="15.75" customHeight="1">
      <c r="G396" s="46"/>
    </row>
    <row r="397" ht="15.75" customHeight="1">
      <c r="G397" s="46"/>
    </row>
    <row r="398" ht="15.75" customHeight="1">
      <c r="G398" s="46"/>
    </row>
    <row r="399" ht="15.75" customHeight="1">
      <c r="G399" s="46"/>
    </row>
    <row r="400" ht="15.75" customHeight="1">
      <c r="G400" s="46"/>
    </row>
    <row r="401" ht="15.75" customHeight="1">
      <c r="G401" s="46"/>
    </row>
    <row r="402" ht="15.75" customHeight="1">
      <c r="G402" s="46"/>
    </row>
    <row r="403" ht="15.75" customHeight="1">
      <c r="G403" s="46"/>
    </row>
    <row r="404" ht="15.75" customHeight="1">
      <c r="G404" s="46"/>
    </row>
    <row r="405" ht="15.75" customHeight="1">
      <c r="G405" s="46"/>
    </row>
    <row r="406" ht="15.75" customHeight="1">
      <c r="G406" s="46"/>
    </row>
    <row r="407" ht="15.75" customHeight="1">
      <c r="G407" s="46"/>
    </row>
    <row r="408" ht="15.75" customHeight="1">
      <c r="G408" s="46"/>
    </row>
    <row r="409" ht="15.75" customHeight="1">
      <c r="G409" s="46"/>
    </row>
    <row r="410" ht="15.75" customHeight="1">
      <c r="G410" s="46"/>
    </row>
    <row r="411" ht="15.75" customHeight="1">
      <c r="G411" s="46"/>
    </row>
    <row r="412" ht="15.75" customHeight="1">
      <c r="G412" s="46"/>
    </row>
    <row r="413" ht="15.75" customHeight="1">
      <c r="G413" s="46"/>
    </row>
    <row r="414" ht="15.75" customHeight="1">
      <c r="G414" s="46"/>
    </row>
    <row r="415" ht="15.75" customHeight="1">
      <c r="G415" s="46"/>
    </row>
    <row r="416" ht="15.75" customHeight="1">
      <c r="G416" s="46"/>
    </row>
    <row r="417" ht="15.75" customHeight="1">
      <c r="G417" s="46"/>
    </row>
    <row r="418" ht="15.75" customHeight="1">
      <c r="G418" s="46"/>
    </row>
    <row r="419" ht="15.75" customHeight="1">
      <c r="G419" s="46"/>
    </row>
    <row r="420" ht="15.75" customHeight="1">
      <c r="G420" s="46"/>
    </row>
    <row r="421" ht="15.75" customHeight="1">
      <c r="G421" s="46"/>
    </row>
    <row r="422" ht="15.75" customHeight="1">
      <c r="G422" s="46"/>
    </row>
    <row r="423" ht="15.75" customHeight="1">
      <c r="G423" s="46"/>
    </row>
    <row r="424" ht="15.75" customHeight="1">
      <c r="G424" s="46"/>
    </row>
    <row r="425" ht="15.75" customHeight="1">
      <c r="G425" s="46"/>
    </row>
    <row r="426" ht="15.75" customHeight="1">
      <c r="G426" s="46"/>
    </row>
    <row r="427" ht="15.75" customHeight="1">
      <c r="G427" s="46"/>
    </row>
    <row r="428" ht="15.75" customHeight="1">
      <c r="G428" s="46"/>
    </row>
    <row r="429" ht="15.75" customHeight="1">
      <c r="G429" s="46"/>
    </row>
    <row r="430" ht="15.75" customHeight="1">
      <c r="G430" s="46"/>
    </row>
    <row r="431" ht="15.75" customHeight="1">
      <c r="G431" s="46"/>
    </row>
    <row r="432" ht="15.75" customHeight="1">
      <c r="G432" s="46"/>
    </row>
    <row r="433" ht="15.75" customHeight="1">
      <c r="G433" s="46"/>
    </row>
    <row r="434" ht="15.75" customHeight="1">
      <c r="G434" s="46"/>
    </row>
    <row r="435" ht="15.75" customHeight="1">
      <c r="G435" s="46"/>
    </row>
    <row r="436" ht="15.75" customHeight="1">
      <c r="G436" s="46"/>
    </row>
    <row r="437" ht="15.75" customHeight="1">
      <c r="G437" s="46"/>
    </row>
    <row r="438" ht="15.75" customHeight="1">
      <c r="G438" s="46"/>
    </row>
    <row r="439" ht="15.75" customHeight="1">
      <c r="G439" s="46"/>
    </row>
    <row r="440" ht="15.75" customHeight="1">
      <c r="G440" s="46"/>
    </row>
    <row r="441" ht="15.75" customHeight="1">
      <c r="G441" s="46"/>
    </row>
    <row r="442" ht="15.75" customHeight="1">
      <c r="G442" s="46"/>
    </row>
    <row r="443" ht="15.75" customHeight="1">
      <c r="G443" s="46"/>
    </row>
    <row r="444" ht="15.75" customHeight="1">
      <c r="G444" s="46"/>
    </row>
    <row r="445" ht="15.75" customHeight="1">
      <c r="G445" s="46"/>
    </row>
    <row r="446" ht="15.75" customHeight="1">
      <c r="G446" s="46"/>
    </row>
    <row r="447" ht="15.75" customHeight="1">
      <c r="G447" s="46"/>
    </row>
    <row r="448" ht="15.75" customHeight="1">
      <c r="G448" s="46"/>
    </row>
    <row r="449" ht="15.75" customHeight="1">
      <c r="G449" s="46"/>
    </row>
    <row r="450" ht="15.75" customHeight="1">
      <c r="G450" s="46"/>
    </row>
    <row r="451" ht="15.75" customHeight="1">
      <c r="G451" s="46"/>
    </row>
    <row r="452" ht="15.75" customHeight="1">
      <c r="G452" s="46"/>
    </row>
    <row r="453" ht="15.75" customHeight="1">
      <c r="G453" s="46"/>
    </row>
    <row r="454" ht="15.75" customHeight="1">
      <c r="G454" s="46"/>
    </row>
    <row r="455" ht="15.75" customHeight="1">
      <c r="G455" s="46"/>
    </row>
    <row r="456" ht="15.75" customHeight="1">
      <c r="G456" s="46"/>
    </row>
    <row r="457" ht="15.75" customHeight="1">
      <c r="G457" s="46"/>
    </row>
    <row r="458" ht="15.75" customHeight="1">
      <c r="G458" s="46"/>
    </row>
    <row r="459" ht="15.75" customHeight="1">
      <c r="G459" s="46"/>
    </row>
    <row r="460" ht="15.75" customHeight="1">
      <c r="G460" s="46"/>
    </row>
    <row r="461" ht="15.75" customHeight="1">
      <c r="G461" s="46"/>
    </row>
    <row r="462" ht="15.75" customHeight="1">
      <c r="G462" s="46"/>
    </row>
    <row r="463" ht="15.75" customHeight="1">
      <c r="G463" s="46"/>
    </row>
    <row r="464" ht="15.75" customHeight="1">
      <c r="G464" s="46"/>
    </row>
    <row r="465" ht="15.75" customHeight="1">
      <c r="G465" s="46"/>
    </row>
    <row r="466" ht="15.75" customHeight="1">
      <c r="G466" s="46"/>
    </row>
    <row r="467" ht="15.75" customHeight="1">
      <c r="G467" s="46"/>
    </row>
    <row r="468" ht="15.75" customHeight="1">
      <c r="G468" s="46"/>
    </row>
    <row r="469" ht="15.75" customHeight="1">
      <c r="G469" s="46"/>
    </row>
    <row r="470" ht="15.75" customHeight="1">
      <c r="G470" s="46"/>
    </row>
    <row r="471" ht="15.75" customHeight="1">
      <c r="G471" s="46"/>
    </row>
    <row r="472" ht="15.75" customHeight="1">
      <c r="G472" s="46"/>
    </row>
    <row r="473" ht="15.75" customHeight="1">
      <c r="G473" s="46"/>
    </row>
    <row r="474" ht="15.75" customHeight="1">
      <c r="G474" s="46"/>
    </row>
    <row r="475" ht="15.75" customHeight="1">
      <c r="G475" s="46"/>
    </row>
    <row r="476" ht="15.75" customHeight="1">
      <c r="G476" s="46"/>
    </row>
    <row r="477" ht="15.75" customHeight="1">
      <c r="G477" s="46"/>
    </row>
    <row r="478" ht="15.75" customHeight="1">
      <c r="G478" s="46"/>
    </row>
    <row r="479" ht="15.75" customHeight="1">
      <c r="G479" s="46"/>
    </row>
    <row r="480" ht="15.75" customHeight="1">
      <c r="G480" s="46"/>
    </row>
    <row r="481" ht="15.75" customHeight="1">
      <c r="G481" s="46"/>
    </row>
    <row r="482" ht="15.75" customHeight="1">
      <c r="G482" s="46"/>
    </row>
    <row r="483" ht="15.75" customHeight="1">
      <c r="G483" s="46"/>
    </row>
    <row r="484" ht="15.75" customHeight="1">
      <c r="G484" s="46"/>
    </row>
    <row r="485" ht="15.75" customHeight="1">
      <c r="G485" s="46"/>
    </row>
    <row r="486" ht="15.75" customHeight="1">
      <c r="G486" s="46"/>
    </row>
    <row r="487" ht="15.75" customHeight="1">
      <c r="G487" s="46"/>
    </row>
    <row r="488" ht="15.75" customHeight="1">
      <c r="G488" s="46"/>
    </row>
    <row r="489" ht="15.75" customHeight="1">
      <c r="G489" s="46"/>
    </row>
    <row r="490" ht="15.75" customHeight="1">
      <c r="G490" s="46"/>
    </row>
    <row r="491" ht="15.75" customHeight="1">
      <c r="G491" s="46"/>
    </row>
    <row r="492" ht="15.75" customHeight="1">
      <c r="G492" s="46"/>
    </row>
    <row r="493" ht="15.75" customHeight="1">
      <c r="G493" s="46"/>
    </row>
    <row r="494" ht="15.75" customHeight="1">
      <c r="G494" s="46"/>
    </row>
    <row r="495" ht="15.75" customHeight="1">
      <c r="G495" s="46"/>
    </row>
    <row r="496" ht="15.75" customHeight="1">
      <c r="G496" s="46"/>
    </row>
    <row r="497" ht="15.75" customHeight="1">
      <c r="G497" s="46"/>
    </row>
    <row r="498" ht="15.75" customHeight="1">
      <c r="G498" s="46"/>
    </row>
    <row r="499" ht="15.75" customHeight="1">
      <c r="G499" s="46"/>
    </row>
    <row r="500" ht="15.75" customHeight="1">
      <c r="G500" s="46"/>
    </row>
    <row r="501" ht="15.75" customHeight="1">
      <c r="G501" s="46"/>
    </row>
    <row r="502" ht="15.75" customHeight="1">
      <c r="G502" s="46"/>
    </row>
    <row r="503" ht="15.75" customHeight="1">
      <c r="G503" s="46"/>
    </row>
    <row r="504" ht="15.75" customHeight="1">
      <c r="G504" s="46"/>
    </row>
    <row r="505" ht="15.75" customHeight="1">
      <c r="G505" s="46"/>
    </row>
    <row r="506" ht="15.75" customHeight="1">
      <c r="G506" s="46"/>
    </row>
    <row r="507" ht="15.75" customHeight="1">
      <c r="G507" s="46"/>
    </row>
    <row r="508" ht="15.75" customHeight="1">
      <c r="G508" s="46"/>
    </row>
    <row r="509" ht="15.75" customHeight="1">
      <c r="G509" s="46"/>
    </row>
    <row r="510" ht="15.75" customHeight="1">
      <c r="G510" s="46"/>
    </row>
    <row r="511" ht="15.75" customHeight="1">
      <c r="G511" s="46"/>
    </row>
    <row r="512" ht="15.75" customHeight="1">
      <c r="G512" s="46"/>
    </row>
    <row r="513" ht="15.75" customHeight="1">
      <c r="G513" s="46"/>
    </row>
    <row r="514" ht="15.75" customHeight="1">
      <c r="G514" s="46"/>
    </row>
    <row r="515" ht="15.75" customHeight="1">
      <c r="G515" s="46"/>
    </row>
    <row r="516" ht="15.75" customHeight="1">
      <c r="G516" s="46"/>
    </row>
    <row r="517" ht="15.75" customHeight="1">
      <c r="G517" s="46"/>
    </row>
    <row r="518" ht="15.75" customHeight="1">
      <c r="G518" s="46"/>
    </row>
    <row r="519" ht="15.75" customHeight="1">
      <c r="G519" s="46"/>
    </row>
    <row r="520" ht="15.75" customHeight="1">
      <c r="G520" s="46"/>
    </row>
    <row r="521" ht="15.75" customHeight="1">
      <c r="G521" s="46"/>
    </row>
    <row r="522" ht="15.75" customHeight="1">
      <c r="G522" s="46"/>
    </row>
    <row r="523" ht="15.75" customHeight="1">
      <c r="G523" s="46"/>
    </row>
    <row r="524" ht="15.75" customHeight="1">
      <c r="G524" s="46"/>
    </row>
    <row r="525" ht="15.75" customHeight="1">
      <c r="G525" s="46"/>
    </row>
    <row r="526" ht="15.75" customHeight="1">
      <c r="G526" s="46"/>
    </row>
    <row r="527" ht="15.75" customHeight="1">
      <c r="G527" s="46"/>
    </row>
    <row r="528" ht="15.75" customHeight="1">
      <c r="G528" s="46"/>
    </row>
    <row r="529" ht="15.75" customHeight="1">
      <c r="G529" s="46"/>
    </row>
    <row r="530" ht="15.75" customHeight="1">
      <c r="G530" s="46"/>
    </row>
    <row r="531" ht="15.75" customHeight="1">
      <c r="G531" s="46"/>
    </row>
    <row r="532" ht="15.75" customHeight="1">
      <c r="G532" s="46"/>
    </row>
    <row r="533" ht="15.75" customHeight="1">
      <c r="G533" s="46"/>
    </row>
    <row r="534" ht="15.75" customHeight="1">
      <c r="G534" s="46"/>
    </row>
    <row r="535" ht="15.75" customHeight="1">
      <c r="G535" s="46"/>
    </row>
    <row r="536" ht="15.75" customHeight="1">
      <c r="G536" s="46"/>
    </row>
    <row r="537" ht="15.75" customHeight="1">
      <c r="G537" s="46"/>
    </row>
    <row r="538" ht="15.75" customHeight="1">
      <c r="G538" s="46"/>
    </row>
    <row r="539" ht="15.75" customHeight="1">
      <c r="G539" s="46"/>
    </row>
    <row r="540" ht="15.75" customHeight="1">
      <c r="G540" s="46"/>
    </row>
    <row r="541" ht="15.75" customHeight="1">
      <c r="G541" s="46"/>
    </row>
    <row r="542" ht="15.75" customHeight="1">
      <c r="G542" s="46"/>
    </row>
    <row r="543" ht="15.75" customHeight="1">
      <c r="G543" s="46"/>
    </row>
    <row r="544" ht="15.75" customHeight="1">
      <c r="G544" s="46"/>
    </row>
    <row r="545" ht="15.75" customHeight="1">
      <c r="G545" s="46"/>
    </row>
    <row r="546" ht="15.75" customHeight="1">
      <c r="G546" s="46"/>
    </row>
    <row r="547" ht="15.75" customHeight="1">
      <c r="G547" s="46"/>
    </row>
    <row r="548" ht="15.75" customHeight="1">
      <c r="G548" s="46"/>
    </row>
    <row r="549" ht="15.75" customHeight="1">
      <c r="G549" s="46"/>
    </row>
    <row r="550" ht="15.75" customHeight="1">
      <c r="G550" s="46"/>
    </row>
    <row r="551" ht="15.75" customHeight="1">
      <c r="G551" s="46"/>
    </row>
    <row r="552" ht="15.75" customHeight="1">
      <c r="G552" s="46"/>
    </row>
    <row r="553" ht="15.75" customHeight="1">
      <c r="G553" s="46"/>
    </row>
    <row r="554" ht="15.75" customHeight="1">
      <c r="G554" s="46"/>
    </row>
    <row r="555" ht="15.75" customHeight="1">
      <c r="G555" s="46"/>
    </row>
    <row r="556" ht="15.75" customHeight="1">
      <c r="G556" s="46"/>
    </row>
    <row r="557" ht="15.75" customHeight="1">
      <c r="G557" s="46"/>
    </row>
    <row r="558" ht="15.75" customHeight="1">
      <c r="G558" s="46"/>
    </row>
    <row r="559" ht="15.75" customHeight="1">
      <c r="G559" s="46"/>
    </row>
    <row r="560" ht="15.75" customHeight="1">
      <c r="G560" s="46"/>
    </row>
    <row r="561" ht="15.75" customHeight="1">
      <c r="G561" s="46"/>
    </row>
    <row r="562" ht="15.75" customHeight="1">
      <c r="G562" s="46"/>
    </row>
    <row r="563" ht="15.75" customHeight="1">
      <c r="G563" s="46"/>
    </row>
    <row r="564" ht="15.75" customHeight="1">
      <c r="G564" s="46"/>
    </row>
    <row r="565" ht="15.75" customHeight="1">
      <c r="G565" s="46"/>
    </row>
    <row r="566" ht="15.75" customHeight="1">
      <c r="G566" s="46"/>
    </row>
    <row r="567" ht="15.75" customHeight="1">
      <c r="G567" s="46"/>
    </row>
    <row r="568" ht="15.75" customHeight="1">
      <c r="G568" s="46"/>
    </row>
    <row r="569" ht="15.75" customHeight="1">
      <c r="G569" s="46"/>
    </row>
    <row r="570" ht="15.75" customHeight="1">
      <c r="G570" s="46"/>
    </row>
    <row r="571" ht="15.75" customHeight="1">
      <c r="G571" s="46"/>
    </row>
    <row r="572" ht="15.75" customHeight="1">
      <c r="G572" s="46"/>
    </row>
    <row r="573" ht="15.75" customHeight="1">
      <c r="G573" s="46"/>
    </row>
    <row r="574" ht="15.75" customHeight="1">
      <c r="G574" s="46"/>
    </row>
    <row r="575" ht="15.75" customHeight="1">
      <c r="G575" s="46"/>
    </row>
    <row r="576" ht="15.75" customHeight="1">
      <c r="G576" s="46"/>
    </row>
    <row r="577" ht="15.75" customHeight="1">
      <c r="G577" s="46"/>
    </row>
    <row r="578" ht="15.75" customHeight="1">
      <c r="G578" s="46"/>
    </row>
    <row r="579" ht="15.75" customHeight="1">
      <c r="G579" s="46"/>
    </row>
    <row r="580" ht="15.75" customHeight="1">
      <c r="G580" s="46"/>
    </row>
    <row r="581" ht="15.75" customHeight="1">
      <c r="G581" s="46"/>
    </row>
    <row r="582" ht="15.75" customHeight="1">
      <c r="G582" s="46"/>
    </row>
    <row r="583" ht="15.75" customHeight="1">
      <c r="G583" s="46"/>
    </row>
    <row r="584" ht="15.75" customHeight="1">
      <c r="G584" s="46"/>
    </row>
    <row r="585" ht="15.75" customHeight="1">
      <c r="G585" s="46"/>
    </row>
    <row r="586" ht="15.75" customHeight="1">
      <c r="G586" s="46"/>
    </row>
    <row r="587" ht="15.75" customHeight="1">
      <c r="G587" s="46"/>
    </row>
    <row r="588" ht="15.75" customHeight="1">
      <c r="G588" s="46"/>
    </row>
    <row r="589" ht="15.75" customHeight="1">
      <c r="G589" s="46"/>
    </row>
    <row r="590" ht="15.75" customHeight="1">
      <c r="G590" s="46"/>
    </row>
    <row r="591" ht="15.75" customHeight="1">
      <c r="G591" s="46"/>
    </row>
    <row r="592" ht="15.75" customHeight="1">
      <c r="G592" s="46"/>
    </row>
    <row r="593" ht="15.75" customHeight="1">
      <c r="G593" s="46"/>
    </row>
    <row r="594" ht="15.75" customHeight="1">
      <c r="G594" s="46"/>
    </row>
    <row r="595" ht="15.75" customHeight="1">
      <c r="G595" s="46"/>
    </row>
    <row r="596" ht="15.75" customHeight="1">
      <c r="G596" s="46"/>
    </row>
    <row r="597" ht="15.75" customHeight="1">
      <c r="G597" s="46"/>
    </row>
    <row r="598" ht="15.75" customHeight="1">
      <c r="G598" s="46"/>
    </row>
    <row r="599" ht="15.75" customHeight="1">
      <c r="G599" s="46"/>
    </row>
    <row r="600" ht="15.75" customHeight="1">
      <c r="G600" s="46"/>
    </row>
    <row r="601" ht="15.75" customHeight="1">
      <c r="G601" s="46"/>
    </row>
    <row r="602" ht="15.75" customHeight="1">
      <c r="G602" s="46"/>
    </row>
    <row r="603" ht="15.75" customHeight="1">
      <c r="G603" s="46"/>
    </row>
    <row r="604" ht="15.75" customHeight="1">
      <c r="G604" s="46"/>
    </row>
    <row r="605" ht="15.75" customHeight="1">
      <c r="G605" s="46"/>
    </row>
    <row r="606" ht="15.75" customHeight="1">
      <c r="G606" s="46"/>
    </row>
    <row r="607" ht="15.75" customHeight="1">
      <c r="G607" s="46"/>
    </row>
    <row r="608" ht="15.75" customHeight="1">
      <c r="G608" s="46"/>
    </row>
    <row r="609" ht="15.75" customHeight="1">
      <c r="G609" s="46"/>
    </row>
    <row r="610" ht="15.75" customHeight="1">
      <c r="G610" s="46"/>
    </row>
    <row r="611" ht="15.75" customHeight="1">
      <c r="G611" s="46"/>
    </row>
    <row r="612" ht="15.75" customHeight="1">
      <c r="G612" s="46"/>
    </row>
    <row r="613" ht="15.75" customHeight="1">
      <c r="G613" s="46"/>
    </row>
    <row r="614" ht="15.75" customHeight="1">
      <c r="G614" s="46"/>
    </row>
    <row r="615" ht="15.75" customHeight="1">
      <c r="G615" s="46"/>
    </row>
    <row r="616" ht="15.75" customHeight="1">
      <c r="G616" s="46"/>
    </row>
    <row r="617" ht="15.75" customHeight="1">
      <c r="G617" s="46"/>
    </row>
    <row r="618" ht="15.75" customHeight="1">
      <c r="G618" s="46"/>
    </row>
    <row r="619" ht="15.75" customHeight="1">
      <c r="G619" s="46"/>
    </row>
    <row r="620" ht="15.75" customHeight="1">
      <c r="G620" s="46"/>
    </row>
    <row r="621" ht="15.75" customHeight="1">
      <c r="G621" s="46"/>
    </row>
    <row r="622" ht="15.75" customHeight="1">
      <c r="G622" s="46"/>
    </row>
    <row r="623" ht="15.75" customHeight="1">
      <c r="G623" s="46"/>
    </row>
    <row r="624" ht="15.75" customHeight="1">
      <c r="G624" s="46"/>
    </row>
    <row r="625" ht="15.75" customHeight="1">
      <c r="G625" s="46"/>
    </row>
    <row r="626" ht="15.75" customHeight="1">
      <c r="G626" s="46"/>
    </row>
    <row r="627" ht="15.75" customHeight="1">
      <c r="G627" s="46"/>
    </row>
    <row r="628" ht="15.75" customHeight="1">
      <c r="G628" s="46"/>
    </row>
    <row r="629" ht="15.75" customHeight="1">
      <c r="G629" s="46"/>
    </row>
    <row r="630" ht="15.75" customHeight="1">
      <c r="G630" s="46"/>
    </row>
    <row r="631" ht="15.75" customHeight="1">
      <c r="G631" s="46"/>
    </row>
    <row r="632" ht="15.75" customHeight="1">
      <c r="G632" s="46"/>
    </row>
    <row r="633" ht="15.75" customHeight="1">
      <c r="G633" s="46"/>
    </row>
    <row r="634" ht="15.75" customHeight="1">
      <c r="G634" s="46"/>
    </row>
    <row r="635" ht="15.75" customHeight="1">
      <c r="G635" s="46"/>
    </row>
    <row r="636" ht="15.75" customHeight="1">
      <c r="G636" s="46"/>
    </row>
    <row r="637" ht="15.75" customHeight="1">
      <c r="G637" s="46"/>
    </row>
    <row r="638" ht="15.75" customHeight="1">
      <c r="G638" s="46"/>
    </row>
    <row r="639" ht="15.75" customHeight="1">
      <c r="G639" s="46"/>
    </row>
    <row r="640" ht="15.75" customHeight="1">
      <c r="G640" s="46"/>
    </row>
    <row r="641" ht="15.75" customHeight="1">
      <c r="G641" s="46"/>
    </row>
    <row r="642" ht="15.75" customHeight="1">
      <c r="G642" s="46"/>
    </row>
    <row r="643" ht="15.75" customHeight="1">
      <c r="G643" s="46"/>
    </row>
    <row r="644" ht="15.75" customHeight="1">
      <c r="G644" s="46"/>
    </row>
    <row r="645" ht="15.75" customHeight="1">
      <c r="G645" s="46"/>
    </row>
    <row r="646" ht="15.75" customHeight="1">
      <c r="G646" s="46"/>
    </row>
    <row r="647" ht="15.75" customHeight="1">
      <c r="G647" s="46"/>
    </row>
    <row r="648" ht="15.75" customHeight="1">
      <c r="G648" s="46"/>
    </row>
    <row r="649" ht="15.75" customHeight="1">
      <c r="G649" s="46"/>
    </row>
    <row r="650" ht="15.75" customHeight="1">
      <c r="G650" s="46"/>
    </row>
    <row r="651" ht="15.75" customHeight="1">
      <c r="G651" s="46"/>
    </row>
    <row r="652" ht="15.75" customHeight="1">
      <c r="G652" s="46"/>
    </row>
    <row r="653" ht="15.75" customHeight="1">
      <c r="G653" s="46"/>
    </row>
    <row r="654" ht="15.75" customHeight="1">
      <c r="G654" s="46"/>
    </row>
    <row r="655" ht="15.75" customHeight="1">
      <c r="G655" s="46"/>
    </row>
    <row r="656" ht="15.75" customHeight="1">
      <c r="G656" s="46"/>
    </row>
    <row r="657" ht="15.75" customHeight="1">
      <c r="G657" s="46"/>
    </row>
    <row r="658" ht="15.75" customHeight="1">
      <c r="G658" s="46"/>
    </row>
    <row r="659" ht="15.75" customHeight="1">
      <c r="G659" s="46"/>
    </row>
    <row r="660" ht="15.75" customHeight="1">
      <c r="G660" s="46"/>
    </row>
    <row r="661" ht="15.75" customHeight="1">
      <c r="G661" s="46"/>
    </row>
    <row r="662" ht="15.75" customHeight="1">
      <c r="G662" s="46"/>
    </row>
    <row r="663" ht="15.75" customHeight="1">
      <c r="G663" s="46"/>
    </row>
    <row r="664" ht="15.75" customHeight="1">
      <c r="G664" s="46"/>
    </row>
    <row r="665" ht="15.75" customHeight="1">
      <c r="G665" s="46"/>
    </row>
    <row r="666" ht="15.75" customHeight="1">
      <c r="G666" s="46"/>
    </row>
    <row r="667" ht="15.75" customHeight="1">
      <c r="G667" s="46"/>
    </row>
    <row r="668" ht="15.75" customHeight="1">
      <c r="G668" s="46"/>
    </row>
    <row r="669" ht="15.75" customHeight="1">
      <c r="G669" s="46"/>
    </row>
    <row r="670" ht="15.75" customHeight="1">
      <c r="G670" s="46"/>
    </row>
    <row r="671" ht="15.75" customHeight="1">
      <c r="G671" s="46"/>
    </row>
    <row r="672" ht="15.75" customHeight="1">
      <c r="G672" s="46"/>
    </row>
    <row r="673" ht="15.75" customHeight="1">
      <c r="G673" s="46"/>
    </row>
    <row r="674" ht="15.75" customHeight="1">
      <c r="G674" s="46"/>
    </row>
    <row r="675" ht="15.75" customHeight="1">
      <c r="G675" s="46"/>
    </row>
    <row r="676" ht="15.75" customHeight="1">
      <c r="G676" s="46"/>
    </row>
    <row r="677" ht="15.75" customHeight="1">
      <c r="G677" s="46"/>
    </row>
    <row r="678" ht="15.75" customHeight="1">
      <c r="G678" s="46"/>
    </row>
    <row r="679" ht="15.75" customHeight="1">
      <c r="G679" s="46"/>
    </row>
    <row r="680" ht="15.75" customHeight="1">
      <c r="G680" s="46"/>
    </row>
    <row r="681" ht="15.75" customHeight="1">
      <c r="G681" s="46"/>
    </row>
    <row r="682" ht="15.75" customHeight="1">
      <c r="G682" s="46"/>
    </row>
    <row r="683" ht="15.75" customHeight="1">
      <c r="G683" s="46"/>
    </row>
    <row r="684" ht="15.75" customHeight="1">
      <c r="G684" s="46"/>
    </row>
    <row r="685" ht="15.75" customHeight="1">
      <c r="G685" s="46"/>
    </row>
    <row r="686" ht="15.75" customHeight="1">
      <c r="G686" s="46"/>
    </row>
    <row r="687" ht="15.75" customHeight="1">
      <c r="G687" s="46"/>
    </row>
    <row r="688" ht="15.75" customHeight="1">
      <c r="G688" s="46"/>
    </row>
    <row r="689" ht="15.75" customHeight="1">
      <c r="G689" s="46"/>
    </row>
    <row r="690" ht="15.75" customHeight="1">
      <c r="G690" s="46"/>
    </row>
    <row r="691" ht="15.75" customHeight="1">
      <c r="G691" s="46"/>
    </row>
    <row r="692" ht="15.75" customHeight="1">
      <c r="G692" s="46"/>
    </row>
    <row r="693" ht="15.75" customHeight="1">
      <c r="G693" s="46"/>
    </row>
    <row r="694" ht="15.75" customHeight="1">
      <c r="G694" s="46"/>
    </row>
    <row r="695" ht="15.75" customHeight="1">
      <c r="G695" s="46"/>
    </row>
    <row r="696" ht="15.75" customHeight="1">
      <c r="G696" s="46"/>
    </row>
    <row r="697" ht="15.75" customHeight="1">
      <c r="G697" s="46"/>
    </row>
    <row r="698" ht="15.75" customHeight="1">
      <c r="G698" s="46"/>
    </row>
    <row r="699" ht="15.75" customHeight="1">
      <c r="G699" s="46"/>
    </row>
    <row r="700" ht="15.75" customHeight="1">
      <c r="G700" s="46"/>
    </row>
    <row r="701" ht="15.75" customHeight="1">
      <c r="G701" s="46"/>
    </row>
    <row r="702" ht="15.75" customHeight="1">
      <c r="G702" s="46"/>
    </row>
    <row r="703" ht="15.75" customHeight="1">
      <c r="G703" s="46"/>
    </row>
    <row r="704" ht="15.75" customHeight="1">
      <c r="G704" s="46"/>
    </row>
    <row r="705" ht="15.75" customHeight="1">
      <c r="G705" s="46"/>
    </row>
    <row r="706" ht="15.75" customHeight="1">
      <c r="G706" s="46"/>
    </row>
    <row r="707" ht="15.75" customHeight="1">
      <c r="G707" s="46"/>
    </row>
    <row r="708" ht="15.75" customHeight="1">
      <c r="G708" s="46"/>
    </row>
    <row r="709" ht="15.75" customHeight="1">
      <c r="G709" s="46"/>
    </row>
    <row r="710" ht="15.75" customHeight="1">
      <c r="G710" s="46"/>
    </row>
    <row r="711" ht="15.75" customHeight="1">
      <c r="G711" s="46"/>
    </row>
    <row r="712" ht="15.75" customHeight="1">
      <c r="G712" s="46"/>
    </row>
    <row r="713" ht="15.75" customHeight="1">
      <c r="G713" s="46"/>
    </row>
    <row r="714" ht="15.75" customHeight="1">
      <c r="G714" s="46"/>
    </row>
    <row r="715" ht="15.75" customHeight="1">
      <c r="G715" s="46"/>
    </row>
    <row r="716" ht="15.75" customHeight="1">
      <c r="G716" s="46"/>
    </row>
    <row r="717" ht="15.75" customHeight="1">
      <c r="G717" s="46"/>
    </row>
    <row r="718" ht="15.75" customHeight="1">
      <c r="G718" s="46"/>
    </row>
    <row r="719" ht="15.75" customHeight="1">
      <c r="G719" s="46"/>
    </row>
    <row r="720" ht="15.75" customHeight="1">
      <c r="G720" s="46"/>
    </row>
    <row r="721" ht="15.75" customHeight="1">
      <c r="G721" s="46"/>
    </row>
    <row r="722" ht="15.75" customHeight="1">
      <c r="G722" s="46"/>
    </row>
    <row r="723" ht="15.75" customHeight="1">
      <c r="G723" s="46"/>
    </row>
    <row r="724" ht="15.75" customHeight="1">
      <c r="G724" s="46"/>
    </row>
    <row r="725" ht="15.75" customHeight="1">
      <c r="G725" s="46"/>
    </row>
    <row r="726" ht="15.75" customHeight="1">
      <c r="G726" s="46"/>
    </row>
    <row r="727" ht="15.75" customHeight="1">
      <c r="G727" s="46"/>
    </row>
    <row r="728" ht="15.75" customHeight="1">
      <c r="G728" s="46"/>
    </row>
    <row r="729" ht="15.75" customHeight="1">
      <c r="G729" s="46"/>
    </row>
    <row r="730" ht="15.75" customHeight="1">
      <c r="G730" s="46"/>
    </row>
    <row r="731" ht="15.75" customHeight="1">
      <c r="G731" s="46"/>
    </row>
    <row r="732" ht="15.75" customHeight="1">
      <c r="G732" s="46"/>
    </row>
    <row r="733" ht="15.75" customHeight="1">
      <c r="G733" s="46"/>
    </row>
    <row r="734" ht="15.75" customHeight="1">
      <c r="G734" s="46"/>
    </row>
    <row r="735" ht="15.75" customHeight="1">
      <c r="G735" s="46"/>
    </row>
    <row r="736" ht="15.75" customHeight="1">
      <c r="G736" s="46"/>
    </row>
    <row r="737" ht="15.75" customHeight="1">
      <c r="G737" s="46"/>
    </row>
    <row r="738" ht="15.75" customHeight="1">
      <c r="G738" s="46"/>
    </row>
    <row r="739" ht="15.75" customHeight="1">
      <c r="G739" s="46"/>
    </row>
    <row r="740" ht="15.75" customHeight="1">
      <c r="G740" s="46"/>
    </row>
    <row r="741" ht="15.75" customHeight="1">
      <c r="G741" s="46"/>
    </row>
    <row r="742" ht="15.75" customHeight="1">
      <c r="G742" s="46"/>
    </row>
    <row r="743" ht="15.75" customHeight="1">
      <c r="G743" s="46"/>
    </row>
    <row r="744" ht="15.75" customHeight="1">
      <c r="G744" s="46"/>
    </row>
    <row r="745" ht="15.75" customHeight="1">
      <c r="G745" s="46"/>
    </row>
    <row r="746" ht="15.75" customHeight="1">
      <c r="G746" s="46"/>
    </row>
    <row r="747" ht="15.75" customHeight="1">
      <c r="G747" s="46"/>
    </row>
    <row r="748" ht="15.75" customHeight="1">
      <c r="G748" s="46"/>
    </row>
    <row r="749" ht="15.75" customHeight="1">
      <c r="G749" s="46"/>
    </row>
    <row r="750" ht="15.75" customHeight="1">
      <c r="G750" s="46"/>
    </row>
    <row r="751" ht="15.75" customHeight="1">
      <c r="G751" s="46"/>
    </row>
    <row r="752" ht="15.75" customHeight="1">
      <c r="G752" s="46"/>
    </row>
    <row r="753" ht="15.75" customHeight="1">
      <c r="G753" s="46"/>
    </row>
    <row r="754" ht="15.75" customHeight="1">
      <c r="G754" s="46"/>
    </row>
    <row r="755" ht="15.75" customHeight="1">
      <c r="G755" s="46"/>
    </row>
    <row r="756" ht="15.75" customHeight="1">
      <c r="G756" s="46"/>
    </row>
    <row r="757" ht="15.75" customHeight="1">
      <c r="G757" s="46"/>
    </row>
    <row r="758" ht="15.75" customHeight="1">
      <c r="G758" s="46"/>
    </row>
    <row r="759" ht="15.75" customHeight="1">
      <c r="G759" s="46"/>
    </row>
    <row r="760" ht="15.75" customHeight="1">
      <c r="G760" s="46"/>
    </row>
    <row r="761" ht="15.75" customHeight="1">
      <c r="G761" s="46"/>
    </row>
    <row r="762" ht="15.75" customHeight="1">
      <c r="G762" s="46"/>
    </row>
    <row r="763" ht="15.75" customHeight="1">
      <c r="G763" s="46"/>
    </row>
    <row r="764" ht="15.75" customHeight="1">
      <c r="G764" s="46"/>
    </row>
    <row r="765" ht="15.75" customHeight="1">
      <c r="G765" s="46"/>
    </row>
    <row r="766" ht="15.75" customHeight="1">
      <c r="G766" s="46"/>
    </row>
    <row r="767" ht="15.75" customHeight="1">
      <c r="G767" s="46"/>
    </row>
    <row r="768" ht="15.75" customHeight="1">
      <c r="G768" s="46"/>
    </row>
    <row r="769" ht="15.75" customHeight="1">
      <c r="G769" s="46"/>
    </row>
    <row r="770" ht="15.75" customHeight="1">
      <c r="G770" s="46"/>
    </row>
    <row r="771" ht="15.75" customHeight="1">
      <c r="G771" s="46"/>
    </row>
    <row r="772" ht="15.75" customHeight="1">
      <c r="G772" s="46"/>
    </row>
    <row r="773" ht="15.75" customHeight="1">
      <c r="G773" s="46"/>
    </row>
    <row r="774" ht="15.75" customHeight="1">
      <c r="G774" s="46"/>
    </row>
    <row r="775" ht="15.75" customHeight="1">
      <c r="G775" s="46"/>
    </row>
    <row r="776" ht="15.75" customHeight="1">
      <c r="G776" s="46"/>
    </row>
    <row r="777" ht="15.75" customHeight="1">
      <c r="G777" s="46"/>
    </row>
    <row r="778" ht="15.75" customHeight="1">
      <c r="G778" s="46"/>
    </row>
    <row r="779" ht="15.75" customHeight="1">
      <c r="G779" s="46"/>
    </row>
    <row r="780" ht="15.75" customHeight="1">
      <c r="G780" s="46"/>
    </row>
    <row r="781" ht="15.75" customHeight="1">
      <c r="G781" s="46"/>
    </row>
    <row r="782" ht="15.75" customHeight="1">
      <c r="G782" s="46"/>
    </row>
    <row r="783" ht="15.75" customHeight="1">
      <c r="G783" s="46"/>
    </row>
    <row r="784" ht="15.75" customHeight="1">
      <c r="G784" s="46"/>
    </row>
    <row r="785" ht="15.75" customHeight="1">
      <c r="G785" s="46"/>
    </row>
    <row r="786" ht="15.75" customHeight="1">
      <c r="G786" s="46"/>
    </row>
    <row r="787" ht="15.75" customHeight="1">
      <c r="G787" s="46"/>
    </row>
    <row r="788" ht="15.75" customHeight="1">
      <c r="G788" s="46"/>
    </row>
    <row r="789" ht="15.75" customHeight="1">
      <c r="G789" s="46"/>
    </row>
    <row r="790" ht="15.75" customHeight="1">
      <c r="G790" s="46"/>
    </row>
    <row r="791" ht="15.75" customHeight="1">
      <c r="G791" s="46"/>
    </row>
    <row r="792" ht="15.75" customHeight="1">
      <c r="G792" s="46"/>
    </row>
    <row r="793" ht="15.75" customHeight="1">
      <c r="G793" s="46"/>
    </row>
    <row r="794" ht="15.75" customHeight="1">
      <c r="G794" s="46"/>
    </row>
    <row r="795" ht="15.75" customHeight="1">
      <c r="G795" s="46"/>
    </row>
    <row r="796" ht="15.75" customHeight="1">
      <c r="G796" s="46"/>
    </row>
    <row r="797" ht="15.75" customHeight="1">
      <c r="G797" s="46"/>
    </row>
    <row r="798" ht="15.75" customHeight="1">
      <c r="G798" s="46"/>
    </row>
    <row r="799" ht="15.75" customHeight="1">
      <c r="G799" s="46"/>
    </row>
    <row r="800" ht="15.75" customHeight="1">
      <c r="G800" s="46"/>
    </row>
    <row r="801" ht="15.75" customHeight="1">
      <c r="G801" s="46"/>
    </row>
    <row r="802" ht="15.75" customHeight="1">
      <c r="G802" s="46"/>
    </row>
    <row r="803" ht="15.75" customHeight="1">
      <c r="G803" s="46"/>
    </row>
    <row r="804" ht="15.75" customHeight="1">
      <c r="G804" s="46"/>
    </row>
    <row r="805" ht="15.75" customHeight="1">
      <c r="G805" s="46"/>
    </row>
    <row r="806" ht="15.75" customHeight="1">
      <c r="G806" s="46"/>
    </row>
    <row r="807" ht="15.75" customHeight="1">
      <c r="G807" s="46"/>
    </row>
    <row r="808" ht="15.75" customHeight="1">
      <c r="G808" s="46"/>
    </row>
    <row r="809" ht="15.75" customHeight="1">
      <c r="G809" s="46"/>
    </row>
    <row r="810" ht="15.75" customHeight="1">
      <c r="G810" s="46"/>
    </row>
    <row r="811" ht="15.75" customHeight="1">
      <c r="G811" s="46"/>
    </row>
    <row r="812" ht="15.75" customHeight="1">
      <c r="G812" s="46"/>
    </row>
    <row r="813" ht="15.75" customHeight="1">
      <c r="G813" s="46"/>
    </row>
    <row r="814" ht="15.75" customHeight="1">
      <c r="G814" s="46"/>
    </row>
    <row r="815" ht="15.75" customHeight="1">
      <c r="G815" s="46"/>
    </row>
    <row r="816" ht="15.75" customHeight="1">
      <c r="G816" s="46"/>
    </row>
    <row r="817" ht="15.75" customHeight="1">
      <c r="G817" s="46"/>
    </row>
    <row r="818" ht="15.75" customHeight="1">
      <c r="G818" s="46"/>
    </row>
    <row r="819" ht="15.75" customHeight="1">
      <c r="G819" s="46"/>
    </row>
    <row r="820" ht="15.75" customHeight="1">
      <c r="G820" s="46"/>
    </row>
    <row r="821" ht="15.75" customHeight="1">
      <c r="G821" s="46"/>
    </row>
    <row r="822" ht="15.75" customHeight="1">
      <c r="G822" s="46"/>
    </row>
    <row r="823" ht="15.75" customHeight="1">
      <c r="G823" s="46"/>
    </row>
    <row r="824" ht="15.75" customHeight="1">
      <c r="G824" s="46"/>
    </row>
    <row r="825" ht="15.75" customHeight="1">
      <c r="G825" s="46"/>
    </row>
    <row r="826" ht="15.75" customHeight="1">
      <c r="G826" s="46"/>
    </row>
    <row r="827" ht="15.75" customHeight="1">
      <c r="G827" s="46"/>
    </row>
    <row r="828" ht="15.75" customHeight="1">
      <c r="G828" s="46"/>
    </row>
    <row r="829" ht="15.75" customHeight="1">
      <c r="G829" s="46"/>
    </row>
    <row r="830" ht="15.75" customHeight="1">
      <c r="G830" s="46"/>
    </row>
    <row r="831" ht="15.75" customHeight="1">
      <c r="G831" s="46"/>
    </row>
    <row r="832" ht="15.75" customHeight="1">
      <c r="G832" s="46"/>
    </row>
    <row r="833" ht="15.75" customHeight="1">
      <c r="G833" s="46"/>
    </row>
    <row r="834" ht="15.75" customHeight="1">
      <c r="G834" s="46"/>
    </row>
    <row r="835" ht="15.75" customHeight="1">
      <c r="G835" s="46"/>
    </row>
    <row r="836" ht="15.75" customHeight="1">
      <c r="G836" s="46"/>
    </row>
    <row r="837" ht="15.75" customHeight="1">
      <c r="G837" s="46"/>
    </row>
    <row r="838" ht="15.75" customHeight="1">
      <c r="G838" s="46"/>
    </row>
    <row r="839" ht="15.75" customHeight="1">
      <c r="G839" s="46"/>
    </row>
    <row r="840" ht="15.75" customHeight="1">
      <c r="G840" s="46"/>
    </row>
    <row r="841" ht="15.75" customHeight="1">
      <c r="G841" s="46"/>
    </row>
    <row r="842" ht="15.75" customHeight="1">
      <c r="G842" s="46"/>
    </row>
    <row r="843" ht="15.75" customHeight="1">
      <c r="G843" s="46"/>
    </row>
    <row r="844" ht="15.75" customHeight="1">
      <c r="G844" s="46"/>
    </row>
    <row r="845" ht="15.75" customHeight="1">
      <c r="G845" s="46"/>
    </row>
    <row r="846" ht="15.75" customHeight="1">
      <c r="G846" s="46"/>
    </row>
    <row r="847" ht="15.75" customHeight="1">
      <c r="G847" s="46"/>
    </row>
    <row r="848" ht="15.75" customHeight="1">
      <c r="G848" s="46"/>
    </row>
    <row r="849" ht="15.75" customHeight="1">
      <c r="G849" s="46"/>
    </row>
    <row r="850" ht="15.75" customHeight="1">
      <c r="G850" s="46"/>
    </row>
    <row r="851" ht="15.75" customHeight="1">
      <c r="G851" s="46"/>
    </row>
    <row r="852" ht="15.75" customHeight="1">
      <c r="G852" s="46"/>
    </row>
    <row r="853" ht="15.75" customHeight="1">
      <c r="G853" s="46"/>
    </row>
    <row r="854" ht="15.75" customHeight="1">
      <c r="G854" s="46"/>
    </row>
    <row r="855" ht="15.75" customHeight="1">
      <c r="G855" s="46"/>
    </row>
    <row r="856" ht="15.75" customHeight="1">
      <c r="G856" s="46"/>
    </row>
    <row r="857" ht="15.75" customHeight="1">
      <c r="G857" s="46"/>
    </row>
    <row r="858" ht="15.75" customHeight="1">
      <c r="G858" s="46"/>
    </row>
    <row r="859" ht="15.75" customHeight="1">
      <c r="G859" s="46"/>
    </row>
    <row r="860" ht="15.75" customHeight="1">
      <c r="G860" s="46"/>
    </row>
    <row r="861" ht="15.75" customHeight="1">
      <c r="G861" s="46"/>
    </row>
    <row r="862" ht="15.75" customHeight="1">
      <c r="G862" s="46"/>
    </row>
    <row r="863" ht="15.75" customHeight="1">
      <c r="G863" s="46"/>
    </row>
    <row r="864" ht="15.75" customHeight="1">
      <c r="G864" s="46"/>
    </row>
    <row r="865" ht="15.75" customHeight="1">
      <c r="G865" s="46"/>
    </row>
    <row r="866" ht="15.75" customHeight="1">
      <c r="G866" s="46"/>
    </row>
    <row r="867" ht="15.75" customHeight="1">
      <c r="G867" s="46"/>
    </row>
    <row r="868" ht="15.75" customHeight="1">
      <c r="G868" s="46"/>
    </row>
    <row r="869" ht="15.75" customHeight="1">
      <c r="G869" s="46"/>
    </row>
    <row r="870" ht="15.75" customHeight="1">
      <c r="G870" s="46"/>
    </row>
    <row r="871" ht="15.75" customHeight="1">
      <c r="G871" s="46"/>
    </row>
    <row r="872" ht="15.75" customHeight="1">
      <c r="G872" s="46"/>
    </row>
    <row r="873" ht="15.75" customHeight="1">
      <c r="G873" s="46"/>
    </row>
    <row r="874" ht="15.75" customHeight="1">
      <c r="G874" s="46"/>
    </row>
    <row r="875" ht="15.75" customHeight="1">
      <c r="G875" s="46"/>
    </row>
    <row r="876" ht="15.75" customHeight="1">
      <c r="G876" s="46"/>
    </row>
    <row r="877" ht="15.75" customHeight="1">
      <c r="G877" s="46"/>
    </row>
    <row r="878" ht="15.75" customHeight="1">
      <c r="G878" s="46"/>
    </row>
    <row r="879" ht="15.75" customHeight="1">
      <c r="G879" s="46"/>
    </row>
    <row r="880" ht="15.75" customHeight="1">
      <c r="G880" s="46"/>
    </row>
    <row r="881" ht="15.75" customHeight="1">
      <c r="G881" s="46"/>
    </row>
    <row r="882" ht="15.75" customHeight="1">
      <c r="G882" s="46"/>
    </row>
    <row r="883" ht="15.75" customHeight="1">
      <c r="G883" s="46"/>
    </row>
    <row r="884" ht="15.75" customHeight="1">
      <c r="G884" s="46"/>
    </row>
    <row r="885" ht="15.75" customHeight="1">
      <c r="G885" s="46"/>
    </row>
    <row r="886" ht="15.75" customHeight="1">
      <c r="G886" s="46"/>
    </row>
    <row r="887" ht="15.75" customHeight="1">
      <c r="G887" s="46"/>
    </row>
    <row r="888" ht="15.75" customHeight="1">
      <c r="G888" s="46"/>
    </row>
    <row r="889" ht="15.75" customHeight="1">
      <c r="G889" s="46"/>
    </row>
    <row r="890" ht="15.75" customHeight="1">
      <c r="G890" s="46"/>
    </row>
    <row r="891" ht="15.75" customHeight="1">
      <c r="G891" s="46"/>
    </row>
    <row r="892" ht="15.75" customHeight="1">
      <c r="G892" s="46"/>
    </row>
    <row r="893" ht="15.75" customHeight="1">
      <c r="G893" s="46"/>
    </row>
    <row r="894" ht="15.75" customHeight="1">
      <c r="G894" s="46"/>
    </row>
    <row r="895" ht="15.75" customHeight="1">
      <c r="G895" s="46"/>
    </row>
    <row r="896" ht="15.75" customHeight="1">
      <c r="G896" s="46"/>
    </row>
    <row r="897" ht="15.75" customHeight="1">
      <c r="G897" s="46"/>
    </row>
    <row r="898" ht="15.75" customHeight="1">
      <c r="G898" s="46"/>
    </row>
    <row r="899" ht="15.75" customHeight="1">
      <c r="G899" s="46"/>
    </row>
    <row r="900" ht="15.75" customHeight="1">
      <c r="G900" s="46"/>
    </row>
    <row r="901" ht="15.75" customHeight="1">
      <c r="G901" s="46"/>
    </row>
    <row r="902" ht="15.75" customHeight="1">
      <c r="G902" s="46"/>
    </row>
    <row r="903" ht="15.75" customHeight="1">
      <c r="G903" s="46"/>
    </row>
    <row r="904" ht="15.75" customHeight="1">
      <c r="G904" s="46"/>
    </row>
    <row r="905" ht="15.75" customHeight="1">
      <c r="G905" s="46"/>
    </row>
    <row r="906" ht="15.75" customHeight="1">
      <c r="G906" s="46"/>
    </row>
    <row r="907" ht="15.75" customHeight="1">
      <c r="G907" s="46"/>
    </row>
    <row r="908" ht="15.75" customHeight="1">
      <c r="G908" s="46"/>
    </row>
    <row r="909" ht="15.75" customHeight="1">
      <c r="G909" s="46"/>
    </row>
    <row r="910" ht="15.75" customHeight="1">
      <c r="G910" s="46"/>
    </row>
    <row r="911" ht="15.75" customHeight="1">
      <c r="G911" s="46"/>
    </row>
    <row r="912" ht="15.75" customHeight="1">
      <c r="G912" s="46"/>
    </row>
    <row r="913" ht="15.75" customHeight="1">
      <c r="G913" s="46"/>
    </row>
    <row r="914" ht="15.75" customHeight="1">
      <c r="G914" s="46"/>
    </row>
    <row r="915" ht="15.75" customHeight="1">
      <c r="G915" s="46"/>
    </row>
    <row r="916" ht="15.75" customHeight="1">
      <c r="G916" s="46"/>
    </row>
    <row r="917" ht="15.75" customHeight="1">
      <c r="G917" s="46"/>
    </row>
    <row r="918" ht="15.75" customHeight="1">
      <c r="G918" s="46"/>
    </row>
    <row r="919" ht="15.75" customHeight="1">
      <c r="G919" s="46"/>
    </row>
    <row r="920" ht="15.75" customHeight="1">
      <c r="G920" s="46"/>
    </row>
    <row r="921" ht="15.75" customHeight="1">
      <c r="G921" s="46"/>
    </row>
    <row r="922" ht="15.75" customHeight="1">
      <c r="G922" s="46"/>
    </row>
    <row r="923" ht="15.75" customHeight="1">
      <c r="G923" s="46"/>
    </row>
    <row r="924" ht="15.75" customHeight="1">
      <c r="G924" s="46"/>
    </row>
    <row r="925" ht="15.75" customHeight="1">
      <c r="G925" s="46"/>
    </row>
    <row r="926" ht="15.75" customHeight="1">
      <c r="G926" s="46"/>
    </row>
    <row r="927" ht="15.75" customHeight="1">
      <c r="G927" s="46"/>
    </row>
    <row r="928" ht="15.75" customHeight="1">
      <c r="G928" s="46"/>
    </row>
    <row r="929" ht="15.75" customHeight="1">
      <c r="G929" s="46"/>
    </row>
    <row r="930" ht="15.75" customHeight="1">
      <c r="G930" s="46"/>
    </row>
    <row r="931" ht="15.75" customHeight="1">
      <c r="G931" s="46"/>
    </row>
    <row r="932" ht="15.75" customHeight="1">
      <c r="G932" s="46"/>
    </row>
    <row r="933" ht="15.75" customHeight="1">
      <c r="G933" s="46"/>
    </row>
    <row r="934" ht="15.75" customHeight="1">
      <c r="G934" s="46"/>
    </row>
    <row r="935" ht="15.75" customHeight="1">
      <c r="G935" s="46"/>
    </row>
    <row r="936" ht="15.75" customHeight="1">
      <c r="G936" s="46"/>
    </row>
    <row r="937" ht="15.75" customHeight="1">
      <c r="G937" s="46"/>
    </row>
    <row r="938" ht="15.75" customHeight="1">
      <c r="G938" s="46"/>
    </row>
    <row r="939" ht="15.75" customHeight="1">
      <c r="G939" s="46"/>
    </row>
    <row r="940" ht="15.75" customHeight="1">
      <c r="G940" s="46"/>
    </row>
    <row r="941" ht="15.75" customHeight="1">
      <c r="G941" s="46"/>
    </row>
    <row r="942" ht="15.75" customHeight="1">
      <c r="G942" s="46"/>
    </row>
    <row r="943" ht="15.75" customHeight="1">
      <c r="G943" s="46"/>
    </row>
    <row r="944" ht="15.75" customHeight="1">
      <c r="G944" s="46"/>
    </row>
    <row r="945" ht="15.75" customHeight="1">
      <c r="G945" s="46"/>
    </row>
    <row r="946" ht="15.75" customHeight="1">
      <c r="G946" s="46"/>
    </row>
    <row r="947" ht="15.75" customHeight="1">
      <c r="G947" s="46"/>
    </row>
    <row r="948" ht="15.75" customHeight="1">
      <c r="G948" s="46"/>
    </row>
    <row r="949" ht="15.75" customHeight="1">
      <c r="G949" s="46"/>
    </row>
    <row r="950" ht="15.75" customHeight="1">
      <c r="G950" s="46"/>
    </row>
    <row r="951" ht="15.75" customHeight="1">
      <c r="G951" s="46"/>
    </row>
    <row r="952" ht="15.75" customHeight="1">
      <c r="G952" s="46"/>
    </row>
    <row r="953" ht="15.75" customHeight="1">
      <c r="G953" s="46"/>
    </row>
    <row r="954" ht="15.75" customHeight="1">
      <c r="G954" s="46"/>
    </row>
    <row r="955" ht="15.75" customHeight="1">
      <c r="G955" s="46"/>
    </row>
    <row r="956" ht="15.75" customHeight="1">
      <c r="G956" s="46"/>
    </row>
    <row r="957" ht="15.75" customHeight="1">
      <c r="G957" s="46"/>
    </row>
    <row r="958" ht="15.75" customHeight="1">
      <c r="G958" s="46"/>
    </row>
    <row r="959" ht="15.75" customHeight="1">
      <c r="G959" s="46"/>
    </row>
    <row r="960" ht="15.75" customHeight="1">
      <c r="G960" s="46"/>
    </row>
    <row r="961" ht="15.75" customHeight="1">
      <c r="G961" s="46"/>
    </row>
    <row r="962" ht="15.75" customHeight="1">
      <c r="G962" s="46"/>
    </row>
    <row r="963" ht="15.75" customHeight="1">
      <c r="G963" s="46"/>
    </row>
    <row r="964" ht="15.75" customHeight="1">
      <c r="G964" s="46"/>
    </row>
    <row r="965" ht="15.75" customHeight="1">
      <c r="G965" s="46"/>
    </row>
    <row r="966" ht="15.75" customHeight="1">
      <c r="G966" s="46"/>
    </row>
    <row r="967" ht="15.75" customHeight="1">
      <c r="G967" s="46"/>
    </row>
    <row r="968" ht="15.75" customHeight="1">
      <c r="G968" s="46"/>
    </row>
    <row r="969" ht="15.75" customHeight="1">
      <c r="G969" s="46"/>
    </row>
    <row r="970" ht="15.75" customHeight="1">
      <c r="G970" s="46"/>
    </row>
    <row r="971" ht="15.75" customHeight="1">
      <c r="G971" s="46"/>
    </row>
    <row r="972" ht="15.75" customHeight="1">
      <c r="G972" s="46"/>
    </row>
    <row r="973" ht="15.75" customHeight="1">
      <c r="G973" s="46"/>
    </row>
    <row r="974" ht="15.75" customHeight="1">
      <c r="G974" s="46"/>
    </row>
    <row r="975" ht="15.75" customHeight="1">
      <c r="G975" s="46"/>
    </row>
    <row r="976" ht="15.75" customHeight="1">
      <c r="G976" s="46"/>
    </row>
    <row r="977" ht="15.75" customHeight="1">
      <c r="G977" s="46"/>
    </row>
    <row r="978" ht="15.75" customHeight="1">
      <c r="G978" s="46"/>
    </row>
    <row r="979" ht="15.75" customHeight="1">
      <c r="G979" s="46"/>
    </row>
    <row r="980" ht="15.75" customHeight="1">
      <c r="G980" s="46"/>
    </row>
    <row r="981" ht="15.75" customHeight="1">
      <c r="G981" s="46"/>
    </row>
    <row r="982" ht="15.75" customHeight="1">
      <c r="G982" s="46"/>
    </row>
    <row r="983" ht="15.75" customHeight="1">
      <c r="G983" s="46"/>
    </row>
    <row r="984" ht="15.75" customHeight="1">
      <c r="G984" s="46"/>
    </row>
    <row r="985" ht="15.75" customHeight="1">
      <c r="G985" s="46"/>
    </row>
    <row r="986" ht="15.75" customHeight="1">
      <c r="G986" s="46"/>
    </row>
    <row r="987" ht="15.75" customHeight="1">
      <c r="G987" s="46"/>
    </row>
    <row r="988" ht="15.75" customHeight="1">
      <c r="G988" s="46"/>
    </row>
    <row r="989" ht="15.75" customHeight="1">
      <c r="G989" s="46"/>
    </row>
    <row r="990" ht="15.75" customHeight="1">
      <c r="G990" s="46"/>
    </row>
    <row r="991" ht="15.75" customHeight="1">
      <c r="G991" s="46"/>
    </row>
    <row r="992" ht="15.75" customHeight="1">
      <c r="G992" s="46"/>
    </row>
    <row r="993" ht="15.75" customHeight="1">
      <c r="G993" s="46"/>
    </row>
    <row r="994" ht="15.75" customHeight="1">
      <c r="G994" s="46"/>
    </row>
    <row r="995" ht="15.75" customHeight="1">
      <c r="G995" s="46"/>
    </row>
    <row r="996" ht="15.75" customHeight="1">
      <c r="G996" s="46"/>
    </row>
    <row r="997" ht="15.75" customHeight="1">
      <c r="G997" s="46"/>
    </row>
    <row r="998" ht="15.75" customHeight="1">
      <c r="G998" s="46"/>
    </row>
    <row r="999" ht="15.75" customHeight="1">
      <c r="G999" s="46"/>
    </row>
    <row r="1000" ht="15.75" customHeight="1">
      <c r="G1000" s="46"/>
    </row>
  </sheetData>
  <mergeCells count="4">
    <mergeCell ref="B2:F2"/>
    <mergeCell ref="B3:F3"/>
    <mergeCell ref="B4:F4"/>
    <mergeCell ref="B6:F6"/>
  </mergeCells>
  <hyperlinks>
    <hyperlink r:id="rId1" ref="D24"/>
    <hyperlink r:id="rId2" ref="D50"/>
  </hyperlinks>
  <printOptions/>
  <pageMargins bottom="0.75" footer="0.0" header="0.0" left="0.7" right="0.7" top="0.75"/>
  <pageSetup orientation="portrait"/>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14.43"/>
    <col customWidth="1" min="3" max="3" width="22.0"/>
    <col customWidth="1" min="4" max="6" width="14.43"/>
  </cols>
  <sheetData>
    <row r="1">
      <c r="A1" s="7">
        <v>35.0</v>
      </c>
      <c r="B1" s="8" t="s">
        <v>84</v>
      </c>
      <c r="C1" s="9" t="s">
        <v>85</v>
      </c>
      <c r="D1" s="18" t="s">
        <v>322</v>
      </c>
    </row>
    <row r="2">
      <c r="A2" s="7">
        <v>36.0</v>
      </c>
      <c r="B2" s="8" t="s">
        <v>86</v>
      </c>
      <c r="C2" s="9" t="s">
        <v>87</v>
      </c>
      <c r="D2" s="18" t="s">
        <v>323</v>
      </c>
    </row>
    <row r="3">
      <c r="A3" s="7">
        <v>37.0</v>
      </c>
      <c r="B3" s="8" t="s">
        <v>88</v>
      </c>
      <c r="C3" s="49" t="s">
        <v>89</v>
      </c>
      <c r="D3" s="18" t="s">
        <v>322</v>
      </c>
    </row>
    <row r="4">
      <c r="A4" s="7">
        <v>38.0</v>
      </c>
      <c r="B4" s="8" t="s">
        <v>90</v>
      </c>
      <c r="C4" s="9" t="s">
        <v>91</v>
      </c>
      <c r="D4" s="18" t="s">
        <v>322</v>
      </c>
    </row>
    <row r="5">
      <c r="A5" s="7">
        <v>39.0</v>
      </c>
      <c r="B5" s="8" t="s">
        <v>92</v>
      </c>
      <c r="C5" s="9" t="s">
        <v>93</v>
      </c>
      <c r="D5" s="18" t="s">
        <v>322</v>
      </c>
    </row>
    <row r="6">
      <c r="A6" s="7">
        <v>40.0</v>
      </c>
      <c r="B6" s="8" t="s">
        <v>94</v>
      </c>
      <c r="C6" s="9" t="s">
        <v>95</v>
      </c>
      <c r="D6" s="18" t="s">
        <v>323</v>
      </c>
    </row>
    <row r="7">
      <c r="A7" s="7">
        <v>41.0</v>
      </c>
      <c r="B7" s="8" t="s">
        <v>96</v>
      </c>
      <c r="C7" s="9" t="s">
        <v>97</v>
      </c>
      <c r="D7" s="18" t="s">
        <v>324</v>
      </c>
    </row>
    <row r="8">
      <c r="A8" s="7">
        <v>42.0</v>
      </c>
      <c r="B8" s="8" t="s">
        <v>98</v>
      </c>
      <c r="C8" s="9" t="s">
        <v>99</v>
      </c>
      <c r="D8" s="18" t="s">
        <v>325</v>
      </c>
    </row>
    <row r="9">
      <c r="A9" s="7">
        <v>43.0</v>
      </c>
      <c r="B9" s="8" t="s">
        <v>100</v>
      </c>
      <c r="C9" s="9" t="s">
        <v>101</v>
      </c>
      <c r="D9" s="18" t="s">
        <v>322</v>
      </c>
    </row>
    <row r="10">
      <c r="A10" s="7">
        <v>44.0</v>
      </c>
      <c r="B10" s="8" t="s">
        <v>102</v>
      </c>
      <c r="C10" s="9" t="s">
        <v>103</v>
      </c>
      <c r="D10" s="18" t="s">
        <v>322</v>
      </c>
    </row>
    <row r="11">
      <c r="A11" s="7">
        <v>45.0</v>
      </c>
      <c r="B11" s="8" t="s">
        <v>104</v>
      </c>
      <c r="C11" s="9" t="s">
        <v>105</v>
      </c>
      <c r="D11" s="18" t="s">
        <v>326</v>
      </c>
    </row>
    <row r="12">
      <c r="A12" s="7">
        <v>46.0</v>
      </c>
      <c r="B12" s="8" t="s">
        <v>106</v>
      </c>
      <c r="C12" s="9" t="s">
        <v>107</v>
      </c>
    </row>
    <row r="13">
      <c r="A13" s="7">
        <v>47.0</v>
      </c>
      <c r="B13" s="8" t="s">
        <v>108</v>
      </c>
      <c r="C13" s="9" t="s">
        <v>109</v>
      </c>
    </row>
    <row r="14">
      <c r="A14" s="7">
        <v>48.0</v>
      </c>
      <c r="B14" s="8" t="s">
        <v>110</v>
      </c>
      <c r="C14" s="9" t="s">
        <v>111</v>
      </c>
    </row>
    <row r="15">
      <c r="A15" s="7">
        <v>49.0</v>
      </c>
      <c r="B15" s="8" t="s">
        <v>112</v>
      </c>
      <c r="C15" s="9" t="s">
        <v>113</v>
      </c>
    </row>
    <row r="16">
      <c r="A16" s="7">
        <v>50.0</v>
      </c>
      <c r="B16" s="8" t="s">
        <v>114</v>
      </c>
      <c r="C16" s="9" t="s">
        <v>115</v>
      </c>
    </row>
    <row r="17">
      <c r="A17" s="7">
        <v>51.0</v>
      </c>
      <c r="B17" s="8" t="s">
        <v>116</v>
      </c>
      <c r="C17" s="9" t="s">
        <v>117</v>
      </c>
    </row>
    <row r="18">
      <c r="A18" s="7">
        <v>52.0</v>
      </c>
      <c r="B18" s="8" t="s">
        <v>118</v>
      </c>
      <c r="C18" s="9" t="s">
        <v>119</v>
      </c>
    </row>
    <row r="19">
      <c r="A19" s="7">
        <v>53.0</v>
      </c>
      <c r="B19" s="8" t="s">
        <v>120</v>
      </c>
      <c r="C19" s="49" t="s">
        <v>121</v>
      </c>
    </row>
    <row r="20">
      <c r="A20" s="7">
        <v>54.0</v>
      </c>
      <c r="B20" s="8" t="s">
        <v>122</v>
      </c>
      <c r="C20" s="49" t="s">
        <v>123</v>
      </c>
    </row>
    <row r="21" ht="15.75" customHeight="1">
      <c r="A21" s="7">
        <v>55.0</v>
      </c>
      <c r="B21" s="8" t="s">
        <v>124</v>
      </c>
      <c r="C21" s="9" t="s">
        <v>125</v>
      </c>
    </row>
    <row r="22" ht="15.75" customHeight="1">
      <c r="A22" s="7">
        <v>56.0</v>
      </c>
      <c r="B22" s="8" t="s">
        <v>126</v>
      </c>
      <c r="C22" s="9" t="s">
        <v>127</v>
      </c>
    </row>
    <row r="23" ht="15.75" customHeight="1">
      <c r="A23" s="7">
        <v>57.0</v>
      </c>
      <c r="B23" s="8" t="s">
        <v>128</v>
      </c>
      <c r="C23" s="9" t="s">
        <v>129</v>
      </c>
    </row>
    <row r="24" ht="15.75" customHeight="1">
      <c r="A24" s="7">
        <v>58.0</v>
      </c>
      <c r="B24" s="8" t="s">
        <v>130</v>
      </c>
      <c r="C24" s="9" t="s">
        <v>131</v>
      </c>
    </row>
    <row r="25" ht="15.75" customHeight="1">
      <c r="A25" s="7">
        <v>59.0</v>
      </c>
      <c r="B25" s="8" t="s">
        <v>132</v>
      </c>
      <c r="C25" s="9" t="s">
        <v>133</v>
      </c>
    </row>
    <row r="26" ht="15.75" customHeight="1">
      <c r="A26" s="7">
        <v>60.0</v>
      </c>
      <c r="B26" s="8" t="s">
        <v>134</v>
      </c>
      <c r="C26" s="9" t="s">
        <v>135</v>
      </c>
    </row>
    <row r="27" ht="15.75" customHeight="1">
      <c r="A27" s="7">
        <v>61.0</v>
      </c>
      <c r="B27" s="8" t="s">
        <v>136</v>
      </c>
      <c r="C27" s="9" t="s">
        <v>137</v>
      </c>
    </row>
    <row r="28" ht="15.75" customHeight="1">
      <c r="A28" s="7">
        <v>62.0</v>
      </c>
      <c r="B28" s="8" t="s">
        <v>138</v>
      </c>
      <c r="C28" s="9" t="s">
        <v>139</v>
      </c>
    </row>
    <row r="29" ht="15.75" customHeight="1">
      <c r="A29" s="7">
        <v>63.0</v>
      </c>
      <c r="B29" s="8" t="s">
        <v>140</v>
      </c>
      <c r="C29" s="9" t="s">
        <v>141</v>
      </c>
    </row>
    <row r="30" ht="15.75" customHeight="1">
      <c r="A30" s="7">
        <v>64.0</v>
      </c>
      <c r="B30" s="8" t="s">
        <v>142</v>
      </c>
      <c r="C30" s="9" t="s">
        <v>143</v>
      </c>
    </row>
    <row r="31" ht="15.75" customHeight="1">
      <c r="A31" s="7">
        <v>65.0</v>
      </c>
      <c r="B31" s="8" t="s">
        <v>144</v>
      </c>
      <c r="C31" s="9" t="s">
        <v>145</v>
      </c>
    </row>
    <row r="32" ht="15.75" customHeight="1">
      <c r="A32" s="7">
        <v>66.0</v>
      </c>
      <c r="B32" s="8" t="s">
        <v>146</v>
      </c>
      <c r="C32" s="9" t="s">
        <v>147</v>
      </c>
    </row>
    <row r="33" ht="15.75" customHeight="1">
      <c r="A33" s="7">
        <v>67.0</v>
      </c>
      <c r="B33" s="8" t="s">
        <v>148</v>
      </c>
      <c r="C33" s="9" t="s">
        <v>149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71"/>
    <col customWidth="1" min="2" max="2" width="13.57"/>
    <col customWidth="1" min="3" max="3" width="23.43"/>
    <col customWidth="1" min="4" max="4" width="8.71"/>
    <col customWidth="1" min="5" max="5" width="11.14"/>
    <col customWidth="1" min="6" max="7" width="8.71"/>
    <col customWidth="1" min="8" max="8" width="12.57"/>
    <col customWidth="1" min="9" max="9" width="10.86"/>
    <col customWidth="1" min="10" max="10" width="16.71"/>
    <col customWidth="1" min="11" max="14" width="8.71"/>
    <col customWidth="1" min="15" max="15" width="13.29"/>
  </cols>
  <sheetData>
    <row r="1" ht="69.75" customHeight="1">
      <c r="A1" s="50" t="s">
        <v>327</v>
      </c>
      <c r="B1" s="51"/>
      <c r="C1" s="51"/>
      <c r="D1" s="51"/>
      <c r="E1" s="51"/>
      <c r="F1" s="51"/>
      <c r="G1" s="51"/>
      <c r="H1" s="51"/>
      <c r="I1" s="51"/>
      <c r="J1" s="52"/>
      <c r="K1" s="53"/>
      <c r="L1" s="53"/>
      <c r="M1" s="53"/>
      <c r="N1" s="53"/>
      <c r="O1" s="53"/>
    </row>
    <row r="2" ht="14.25" customHeight="1">
      <c r="D2" s="54"/>
      <c r="E2" s="54"/>
      <c r="F2" s="54"/>
      <c r="G2" s="54"/>
      <c r="H2" s="54"/>
      <c r="I2" s="54"/>
    </row>
    <row r="3" ht="34.5" customHeight="1">
      <c r="A3" s="1" t="s">
        <v>0</v>
      </c>
      <c r="B3" s="1" t="s">
        <v>1</v>
      </c>
      <c r="C3" s="1" t="s">
        <v>2</v>
      </c>
      <c r="D3" s="55" t="s">
        <v>328</v>
      </c>
      <c r="E3" s="55" t="s">
        <v>329</v>
      </c>
      <c r="F3" s="55" t="s">
        <v>330</v>
      </c>
      <c r="G3" s="55" t="s">
        <v>331</v>
      </c>
      <c r="H3" s="55" t="s">
        <v>332</v>
      </c>
      <c r="I3" s="55" t="s">
        <v>333</v>
      </c>
      <c r="J3" s="1" t="s">
        <v>334</v>
      </c>
    </row>
    <row r="4" ht="25.5" customHeight="1">
      <c r="A4" s="55"/>
      <c r="B4" s="55"/>
      <c r="C4" s="55" t="s">
        <v>15</v>
      </c>
      <c r="D4" s="56">
        <v>20.0</v>
      </c>
      <c r="E4" s="56">
        <v>5.0</v>
      </c>
      <c r="F4" s="56">
        <v>5.0</v>
      </c>
      <c r="G4" s="56">
        <v>50.0</v>
      </c>
      <c r="H4" s="56">
        <v>20.0</v>
      </c>
      <c r="I4" s="56">
        <f t="shared" ref="I4:I71" si="1">ROUND((D4+E4+F4+H4),0)</f>
        <v>50</v>
      </c>
      <c r="J4" s="57"/>
    </row>
    <row r="5" ht="25.5" customHeight="1">
      <c r="A5" s="58">
        <v>1.0</v>
      </c>
      <c r="B5" s="59" t="s">
        <v>16</v>
      </c>
      <c r="C5" s="60" t="s">
        <v>17</v>
      </c>
      <c r="D5" s="61">
        <v>20.0</v>
      </c>
      <c r="E5" s="61">
        <v>5.0</v>
      </c>
      <c r="F5" s="61">
        <v>5.0</v>
      </c>
      <c r="G5" s="61">
        <v>50.0</v>
      </c>
      <c r="H5" s="61">
        <f t="shared" ref="H5:H71" si="2">(G5*20/50)</f>
        <v>20</v>
      </c>
      <c r="I5" s="56">
        <f t="shared" si="1"/>
        <v>50</v>
      </c>
      <c r="J5" s="57"/>
      <c r="O5" s="18" t="s">
        <v>335</v>
      </c>
    </row>
    <row r="6" ht="25.5" customHeight="1">
      <c r="A6" s="7">
        <v>2.0</v>
      </c>
      <c r="B6" s="62" t="s">
        <v>18</v>
      </c>
      <c r="C6" s="9" t="s">
        <v>19</v>
      </c>
      <c r="D6" s="61">
        <v>20.0</v>
      </c>
      <c r="E6" s="61">
        <v>5.0</v>
      </c>
      <c r="F6" s="61">
        <v>5.0</v>
      </c>
      <c r="G6" s="61">
        <v>50.0</v>
      </c>
      <c r="H6" s="61">
        <f t="shared" si="2"/>
        <v>20</v>
      </c>
      <c r="I6" s="56">
        <f t="shared" si="1"/>
        <v>50</v>
      </c>
      <c r="J6" s="57"/>
      <c r="O6" s="63" t="s">
        <v>336</v>
      </c>
    </row>
    <row r="7" ht="25.5" customHeight="1">
      <c r="A7" s="7">
        <v>3.0</v>
      </c>
      <c r="B7" s="8" t="s">
        <v>20</v>
      </c>
      <c r="C7" s="9" t="s">
        <v>21</v>
      </c>
      <c r="D7" s="61">
        <v>20.0</v>
      </c>
      <c r="E7" s="61">
        <v>5.0</v>
      </c>
      <c r="F7" s="61">
        <v>5.0</v>
      </c>
      <c r="G7" s="61">
        <v>50.0</v>
      </c>
      <c r="H7" s="61">
        <f t="shared" si="2"/>
        <v>20</v>
      </c>
      <c r="I7" s="56">
        <f t="shared" si="1"/>
        <v>50</v>
      </c>
      <c r="J7" s="57"/>
      <c r="O7" s="63" t="s">
        <v>337</v>
      </c>
    </row>
    <row r="8" ht="25.5" customHeight="1">
      <c r="A8" s="10">
        <v>4.0</v>
      </c>
      <c r="B8" s="8" t="s">
        <v>22</v>
      </c>
      <c r="C8" s="12" t="s">
        <v>23</v>
      </c>
      <c r="D8" s="61">
        <v>0.0</v>
      </c>
      <c r="E8" s="61">
        <v>0.0</v>
      </c>
      <c r="F8" s="61">
        <v>0.0</v>
      </c>
      <c r="G8" s="61"/>
      <c r="H8" s="61">
        <f t="shared" si="2"/>
        <v>0</v>
      </c>
      <c r="I8" s="56">
        <f t="shared" si="1"/>
        <v>0</v>
      </c>
      <c r="J8" s="57"/>
      <c r="O8" s="18" t="s">
        <v>338</v>
      </c>
    </row>
    <row r="9" ht="25.5" customHeight="1">
      <c r="A9" s="7">
        <v>5.0</v>
      </c>
      <c r="B9" s="62" t="s">
        <v>24</v>
      </c>
      <c r="C9" s="9" t="s">
        <v>25</v>
      </c>
      <c r="D9" s="61">
        <v>20.0</v>
      </c>
      <c r="E9" s="61">
        <v>5.0</v>
      </c>
      <c r="F9" s="61">
        <v>5.0</v>
      </c>
      <c r="G9" s="61">
        <v>50.0</v>
      </c>
      <c r="H9" s="61">
        <f t="shared" si="2"/>
        <v>20</v>
      </c>
      <c r="I9" s="56">
        <f t="shared" si="1"/>
        <v>50</v>
      </c>
      <c r="J9" s="57"/>
    </row>
    <row r="10" ht="25.5" customHeight="1">
      <c r="A10" s="7">
        <v>6.0</v>
      </c>
      <c r="B10" s="8" t="s">
        <v>26</v>
      </c>
      <c r="C10" s="9" t="s">
        <v>27</v>
      </c>
      <c r="D10" s="61">
        <v>18.0</v>
      </c>
      <c r="E10" s="61">
        <v>5.0</v>
      </c>
      <c r="F10" s="61">
        <v>5.0</v>
      </c>
      <c r="G10" s="61">
        <v>32.0</v>
      </c>
      <c r="H10" s="61">
        <f t="shared" si="2"/>
        <v>12.8</v>
      </c>
      <c r="I10" s="56">
        <f t="shared" si="1"/>
        <v>41</v>
      </c>
      <c r="J10" s="57"/>
      <c r="O10" s="63" t="s">
        <v>339</v>
      </c>
    </row>
    <row r="11" ht="25.5" customHeight="1">
      <c r="A11" s="7">
        <v>7.0</v>
      </c>
      <c r="B11" s="8" t="s">
        <v>28</v>
      </c>
      <c r="C11" s="9" t="s">
        <v>29</v>
      </c>
      <c r="D11" s="61">
        <v>20.0</v>
      </c>
      <c r="E11" s="61">
        <v>5.0</v>
      </c>
      <c r="F11" s="61">
        <v>5.0</v>
      </c>
      <c r="G11" s="61">
        <v>37.0</v>
      </c>
      <c r="H11" s="61">
        <f t="shared" si="2"/>
        <v>14.8</v>
      </c>
      <c r="I11" s="56">
        <f t="shared" si="1"/>
        <v>45</v>
      </c>
      <c r="J11" s="57"/>
    </row>
    <row r="12" ht="25.5" customHeight="1">
      <c r="A12" s="7">
        <v>8.0</v>
      </c>
      <c r="B12" s="8" t="s">
        <v>30</v>
      </c>
      <c r="C12" s="9" t="s">
        <v>31</v>
      </c>
      <c r="D12" s="61">
        <v>20.0</v>
      </c>
      <c r="E12" s="61">
        <v>5.0</v>
      </c>
      <c r="F12" s="61">
        <v>5.0</v>
      </c>
      <c r="G12" s="61">
        <v>48.0</v>
      </c>
      <c r="H12" s="61">
        <f t="shared" si="2"/>
        <v>19.2</v>
      </c>
      <c r="I12" s="56">
        <f t="shared" si="1"/>
        <v>49</v>
      </c>
      <c r="J12" s="57"/>
    </row>
    <row r="13" ht="25.5" customHeight="1">
      <c r="A13" s="7">
        <v>9.0</v>
      </c>
      <c r="B13" s="8" t="s">
        <v>32</v>
      </c>
      <c r="C13" s="9" t="s">
        <v>33</v>
      </c>
      <c r="D13" s="61">
        <v>20.0</v>
      </c>
      <c r="E13" s="61">
        <v>5.0</v>
      </c>
      <c r="F13" s="61">
        <v>5.0</v>
      </c>
      <c r="G13" s="61">
        <v>48.0</v>
      </c>
      <c r="H13" s="61">
        <f t="shared" si="2"/>
        <v>19.2</v>
      </c>
      <c r="I13" s="56">
        <f t="shared" si="1"/>
        <v>49</v>
      </c>
      <c r="J13" s="57"/>
    </row>
    <row r="14" ht="25.5" customHeight="1">
      <c r="A14" s="7">
        <v>10.0</v>
      </c>
      <c r="B14" s="8" t="s">
        <v>34</v>
      </c>
      <c r="C14" s="9" t="s">
        <v>35</v>
      </c>
      <c r="D14" s="61">
        <v>20.0</v>
      </c>
      <c r="E14" s="61">
        <v>5.0</v>
      </c>
      <c r="F14" s="61">
        <v>5.0</v>
      </c>
      <c r="G14" s="61">
        <v>50.0</v>
      </c>
      <c r="H14" s="61">
        <f t="shared" si="2"/>
        <v>20</v>
      </c>
      <c r="I14" s="56">
        <f t="shared" si="1"/>
        <v>50</v>
      </c>
      <c r="J14" s="57"/>
    </row>
    <row r="15" ht="25.5" customHeight="1">
      <c r="A15" s="7">
        <v>11.0</v>
      </c>
      <c r="B15" s="8" t="s">
        <v>36</v>
      </c>
      <c r="C15" s="9" t="s">
        <v>37</v>
      </c>
      <c r="D15" s="61">
        <v>20.0</v>
      </c>
      <c r="E15" s="61">
        <v>5.0</v>
      </c>
      <c r="F15" s="61">
        <v>5.0</v>
      </c>
      <c r="G15" s="61">
        <v>48.0</v>
      </c>
      <c r="H15" s="61">
        <f t="shared" si="2"/>
        <v>19.2</v>
      </c>
      <c r="I15" s="56">
        <f t="shared" si="1"/>
        <v>49</v>
      </c>
      <c r="J15" s="57"/>
    </row>
    <row r="16" ht="25.5" customHeight="1">
      <c r="A16" s="7">
        <v>12.0</v>
      </c>
      <c r="B16" s="8" t="s">
        <v>38</v>
      </c>
      <c r="C16" s="9" t="s">
        <v>39</v>
      </c>
      <c r="D16" s="61">
        <v>20.0</v>
      </c>
      <c r="E16" s="61">
        <v>5.0</v>
      </c>
      <c r="F16" s="61">
        <v>5.0</v>
      </c>
      <c r="G16" s="61">
        <v>50.0</v>
      </c>
      <c r="H16" s="61">
        <f t="shared" si="2"/>
        <v>20</v>
      </c>
      <c r="I16" s="56">
        <f t="shared" si="1"/>
        <v>50</v>
      </c>
      <c r="J16" s="57"/>
    </row>
    <row r="17" ht="25.5" customHeight="1">
      <c r="A17" s="7">
        <v>13.0</v>
      </c>
      <c r="B17" s="8" t="s">
        <v>40</v>
      </c>
      <c r="C17" s="9" t="s">
        <v>41</v>
      </c>
      <c r="D17" s="61">
        <v>18.0</v>
      </c>
      <c r="E17" s="61">
        <v>5.0</v>
      </c>
      <c r="F17" s="61">
        <v>5.0</v>
      </c>
      <c r="G17" s="61">
        <v>43.0</v>
      </c>
      <c r="H17" s="61">
        <f t="shared" si="2"/>
        <v>17.2</v>
      </c>
      <c r="I17" s="56">
        <f t="shared" si="1"/>
        <v>45</v>
      </c>
      <c r="J17" s="57"/>
    </row>
    <row r="18" ht="25.5" customHeight="1">
      <c r="A18" s="7">
        <v>14.0</v>
      </c>
      <c r="B18" s="8" t="s">
        <v>42</v>
      </c>
      <c r="C18" s="9" t="s">
        <v>43</v>
      </c>
      <c r="D18" s="61">
        <v>20.0</v>
      </c>
      <c r="E18" s="61">
        <v>5.0</v>
      </c>
      <c r="F18" s="61">
        <v>5.0</v>
      </c>
      <c r="G18" s="61">
        <v>40.0</v>
      </c>
      <c r="H18" s="61">
        <f t="shared" si="2"/>
        <v>16</v>
      </c>
      <c r="I18" s="56">
        <f t="shared" si="1"/>
        <v>46</v>
      </c>
      <c r="J18" s="57"/>
    </row>
    <row r="19" ht="25.5" customHeight="1">
      <c r="A19" s="7">
        <v>15.0</v>
      </c>
      <c r="B19" s="8" t="s">
        <v>44</v>
      </c>
      <c r="C19" s="9" t="s">
        <v>45</v>
      </c>
      <c r="D19" s="61">
        <v>20.0</v>
      </c>
      <c r="E19" s="61">
        <v>5.0</v>
      </c>
      <c r="F19" s="61">
        <v>5.0</v>
      </c>
      <c r="G19" s="61">
        <v>41.0</v>
      </c>
      <c r="H19" s="61">
        <f t="shared" si="2"/>
        <v>16.4</v>
      </c>
      <c r="I19" s="56">
        <f t="shared" si="1"/>
        <v>46</v>
      </c>
      <c r="J19" s="57"/>
    </row>
    <row r="20" ht="25.5" customHeight="1">
      <c r="A20" s="7">
        <v>16.0</v>
      </c>
      <c r="B20" s="8" t="s">
        <v>46</v>
      </c>
      <c r="C20" s="9" t="s">
        <v>47</v>
      </c>
      <c r="D20" s="61">
        <v>20.0</v>
      </c>
      <c r="E20" s="61">
        <v>5.0</v>
      </c>
      <c r="F20" s="61">
        <v>5.0</v>
      </c>
      <c r="G20" s="61">
        <v>50.0</v>
      </c>
      <c r="H20" s="61">
        <f t="shared" si="2"/>
        <v>20</v>
      </c>
      <c r="I20" s="56">
        <f t="shared" si="1"/>
        <v>50</v>
      </c>
      <c r="J20" s="57"/>
    </row>
    <row r="21" ht="25.5" customHeight="1">
      <c r="A21" s="7">
        <v>17.0</v>
      </c>
      <c r="B21" s="8" t="s">
        <v>48</v>
      </c>
      <c r="C21" s="9" t="s">
        <v>49</v>
      </c>
      <c r="D21" s="61">
        <v>20.0</v>
      </c>
      <c r="E21" s="61">
        <v>5.0</v>
      </c>
      <c r="F21" s="61">
        <v>5.0</v>
      </c>
      <c r="G21" s="61">
        <v>45.0</v>
      </c>
      <c r="H21" s="61">
        <f t="shared" si="2"/>
        <v>18</v>
      </c>
      <c r="I21" s="56">
        <f t="shared" si="1"/>
        <v>48</v>
      </c>
      <c r="J21" s="57"/>
    </row>
    <row r="22" ht="25.5" customHeight="1">
      <c r="A22" s="7">
        <v>18.0</v>
      </c>
      <c r="B22" s="8" t="s">
        <v>50</v>
      </c>
      <c r="C22" s="9" t="s">
        <v>51</v>
      </c>
      <c r="D22" s="61">
        <v>20.0</v>
      </c>
      <c r="E22" s="61">
        <v>5.0</v>
      </c>
      <c r="F22" s="61">
        <v>5.0</v>
      </c>
      <c r="G22" s="61">
        <v>50.0</v>
      </c>
      <c r="H22" s="61">
        <f t="shared" si="2"/>
        <v>20</v>
      </c>
      <c r="I22" s="56">
        <f t="shared" si="1"/>
        <v>50</v>
      </c>
      <c r="J22" s="57"/>
    </row>
    <row r="23" ht="25.5" customHeight="1">
      <c r="A23" s="7">
        <v>19.0</v>
      </c>
      <c r="B23" s="8" t="s">
        <v>52</v>
      </c>
      <c r="C23" s="9" t="s">
        <v>53</v>
      </c>
      <c r="D23" s="61">
        <v>20.0</v>
      </c>
      <c r="E23" s="61">
        <v>5.0</v>
      </c>
      <c r="F23" s="61">
        <v>5.0</v>
      </c>
      <c r="G23" s="61">
        <v>36.0</v>
      </c>
      <c r="H23" s="61">
        <f t="shared" si="2"/>
        <v>14.4</v>
      </c>
      <c r="I23" s="56">
        <f t="shared" si="1"/>
        <v>44</v>
      </c>
      <c r="J23" s="57"/>
    </row>
    <row r="24" ht="25.5" customHeight="1">
      <c r="A24" s="7">
        <v>20.0</v>
      </c>
      <c r="B24" s="8" t="s">
        <v>54</v>
      </c>
      <c r="C24" s="9" t="s">
        <v>55</v>
      </c>
      <c r="D24" s="61">
        <v>20.0</v>
      </c>
      <c r="E24" s="61">
        <v>5.0</v>
      </c>
      <c r="F24" s="61">
        <v>5.0</v>
      </c>
      <c r="G24" s="61">
        <v>45.0</v>
      </c>
      <c r="H24" s="61">
        <f t="shared" si="2"/>
        <v>18</v>
      </c>
      <c r="I24" s="56">
        <f t="shared" si="1"/>
        <v>48</v>
      </c>
      <c r="J24" s="57"/>
    </row>
    <row r="25" ht="25.5" customHeight="1">
      <c r="A25" s="7">
        <v>21.0</v>
      </c>
      <c r="B25" s="8" t="s">
        <v>56</v>
      </c>
      <c r="C25" s="9" t="s">
        <v>57</v>
      </c>
      <c r="D25" s="61">
        <v>20.0</v>
      </c>
      <c r="E25" s="61">
        <v>5.0</v>
      </c>
      <c r="F25" s="61">
        <v>5.0</v>
      </c>
      <c r="G25" s="61">
        <v>45.0</v>
      </c>
      <c r="H25" s="61">
        <f t="shared" si="2"/>
        <v>18</v>
      </c>
      <c r="I25" s="56">
        <f t="shared" si="1"/>
        <v>48</v>
      </c>
      <c r="J25" s="57"/>
    </row>
    <row r="26" ht="25.5" customHeight="1">
      <c r="A26" s="7">
        <v>22.0</v>
      </c>
      <c r="B26" s="8" t="s">
        <v>58</v>
      </c>
      <c r="C26" s="9" t="s">
        <v>59</v>
      </c>
      <c r="D26" s="61">
        <v>20.0</v>
      </c>
      <c r="E26" s="61">
        <v>5.0</v>
      </c>
      <c r="F26" s="61">
        <v>5.0</v>
      </c>
      <c r="G26" s="61">
        <v>47.0</v>
      </c>
      <c r="H26" s="61">
        <f t="shared" si="2"/>
        <v>18.8</v>
      </c>
      <c r="I26" s="56">
        <f t="shared" si="1"/>
        <v>49</v>
      </c>
      <c r="J26" s="57"/>
    </row>
    <row r="27" ht="25.5" customHeight="1">
      <c r="A27" s="7">
        <v>23.0</v>
      </c>
      <c r="B27" s="8" t="s">
        <v>60</v>
      </c>
      <c r="C27" s="9" t="s">
        <v>61</v>
      </c>
      <c r="D27" s="61">
        <v>20.0</v>
      </c>
      <c r="E27" s="61">
        <v>5.0</v>
      </c>
      <c r="F27" s="61">
        <v>5.0</v>
      </c>
      <c r="G27" s="61">
        <v>50.0</v>
      </c>
      <c r="H27" s="61">
        <f t="shared" si="2"/>
        <v>20</v>
      </c>
      <c r="I27" s="56">
        <f t="shared" si="1"/>
        <v>50</v>
      </c>
      <c r="J27" s="57"/>
    </row>
    <row r="28" ht="25.5" customHeight="1">
      <c r="A28" s="7">
        <v>24.0</v>
      </c>
      <c r="B28" s="8" t="s">
        <v>62</v>
      </c>
      <c r="C28" s="9" t="s">
        <v>63</v>
      </c>
      <c r="D28" s="61">
        <v>20.0</v>
      </c>
      <c r="E28" s="61">
        <v>5.0</v>
      </c>
      <c r="F28" s="61">
        <v>5.0</v>
      </c>
      <c r="G28" s="61">
        <v>48.0</v>
      </c>
      <c r="H28" s="61">
        <f t="shared" si="2"/>
        <v>19.2</v>
      </c>
      <c r="I28" s="56">
        <f t="shared" si="1"/>
        <v>49</v>
      </c>
      <c r="J28" s="57"/>
    </row>
    <row r="29" ht="25.5" customHeight="1">
      <c r="A29" s="7">
        <v>25.0</v>
      </c>
      <c r="B29" s="8" t="s">
        <v>64</v>
      </c>
      <c r="C29" s="9" t="s">
        <v>65</v>
      </c>
      <c r="D29" s="61">
        <v>20.0</v>
      </c>
      <c r="E29" s="61">
        <v>5.0</v>
      </c>
      <c r="F29" s="61">
        <v>5.0</v>
      </c>
      <c r="G29" s="61">
        <v>39.0</v>
      </c>
      <c r="H29" s="61">
        <f t="shared" si="2"/>
        <v>15.6</v>
      </c>
      <c r="I29" s="56">
        <f t="shared" si="1"/>
        <v>46</v>
      </c>
      <c r="J29" s="57"/>
    </row>
    <row r="30" ht="25.5" customHeight="1">
      <c r="A30" s="7">
        <v>26.0</v>
      </c>
      <c r="B30" s="8" t="s">
        <v>66</v>
      </c>
      <c r="C30" s="9" t="s">
        <v>67</v>
      </c>
      <c r="D30" s="61">
        <v>20.0</v>
      </c>
      <c r="E30" s="61">
        <v>5.0</v>
      </c>
      <c r="F30" s="61">
        <v>5.0</v>
      </c>
      <c r="G30" s="61">
        <v>43.0</v>
      </c>
      <c r="H30" s="61">
        <f t="shared" si="2"/>
        <v>17.2</v>
      </c>
      <c r="I30" s="56">
        <f t="shared" si="1"/>
        <v>47</v>
      </c>
      <c r="J30" s="57"/>
    </row>
    <row r="31" ht="25.5" customHeight="1">
      <c r="A31" s="7">
        <v>27.0</v>
      </c>
      <c r="B31" s="8" t="s">
        <v>68</v>
      </c>
      <c r="C31" s="9" t="s">
        <v>69</v>
      </c>
      <c r="D31" s="61">
        <v>20.0</v>
      </c>
      <c r="E31" s="61">
        <v>5.0</v>
      </c>
      <c r="F31" s="61">
        <v>5.0</v>
      </c>
      <c r="G31" s="61">
        <v>49.0</v>
      </c>
      <c r="H31" s="61">
        <f t="shared" si="2"/>
        <v>19.6</v>
      </c>
      <c r="I31" s="56">
        <f t="shared" si="1"/>
        <v>50</v>
      </c>
      <c r="J31" s="57"/>
    </row>
    <row r="32" ht="25.5" customHeight="1">
      <c r="A32" s="7">
        <v>28.0</v>
      </c>
      <c r="B32" s="8" t="s">
        <v>70</v>
      </c>
      <c r="C32" s="9" t="s">
        <v>71</v>
      </c>
      <c r="D32" s="61">
        <v>20.0</v>
      </c>
      <c r="E32" s="61">
        <v>5.0</v>
      </c>
      <c r="F32" s="61">
        <v>5.0</v>
      </c>
      <c r="G32" s="61">
        <v>50.0</v>
      </c>
      <c r="H32" s="61">
        <f t="shared" si="2"/>
        <v>20</v>
      </c>
      <c r="I32" s="56">
        <f t="shared" si="1"/>
        <v>50</v>
      </c>
      <c r="J32" s="57"/>
    </row>
    <row r="33" ht="25.5" customHeight="1">
      <c r="A33" s="10">
        <v>29.0</v>
      </c>
      <c r="B33" s="8" t="s">
        <v>72</v>
      </c>
      <c r="C33" s="12" t="s">
        <v>73</v>
      </c>
      <c r="D33" s="61">
        <v>0.0</v>
      </c>
      <c r="E33" s="61">
        <v>0.0</v>
      </c>
      <c r="F33" s="61">
        <v>0.0</v>
      </c>
      <c r="G33" s="61"/>
      <c r="H33" s="61">
        <f t="shared" si="2"/>
        <v>0</v>
      </c>
      <c r="I33" s="56">
        <f t="shared" si="1"/>
        <v>0</v>
      </c>
      <c r="J33" s="57"/>
    </row>
    <row r="34" ht="25.5" customHeight="1">
      <c r="A34" s="7">
        <v>30.0</v>
      </c>
      <c r="B34" s="8" t="s">
        <v>74</v>
      </c>
      <c r="C34" s="9" t="s">
        <v>75</v>
      </c>
      <c r="D34" s="61">
        <v>18.0</v>
      </c>
      <c r="E34" s="61">
        <v>5.0</v>
      </c>
      <c r="F34" s="61">
        <v>5.0</v>
      </c>
      <c r="G34" s="61">
        <v>47.0</v>
      </c>
      <c r="H34" s="61">
        <f t="shared" si="2"/>
        <v>18.8</v>
      </c>
      <c r="I34" s="56">
        <f t="shared" si="1"/>
        <v>47</v>
      </c>
      <c r="J34" s="57"/>
    </row>
    <row r="35" ht="25.5" customHeight="1">
      <c r="A35" s="7">
        <v>31.0</v>
      </c>
      <c r="B35" s="8" t="s">
        <v>76</v>
      </c>
      <c r="C35" s="9" t="s">
        <v>77</v>
      </c>
      <c r="D35" s="61">
        <v>20.0</v>
      </c>
      <c r="E35" s="61">
        <v>5.0</v>
      </c>
      <c r="F35" s="61">
        <v>5.0</v>
      </c>
      <c r="G35" s="61">
        <v>43.0</v>
      </c>
      <c r="H35" s="61">
        <f t="shared" si="2"/>
        <v>17.2</v>
      </c>
      <c r="I35" s="56">
        <f t="shared" si="1"/>
        <v>47</v>
      </c>
      <c r="J35" s="57"/>
    </row>
    <row r="36" ht="25.5" customHeight="1">
      <c r="A36" s="7">
        <v>32.0</v>
      </c>
      <c r="B36" s="8" t="s">
        <v>78</v>
      </c>
      <c r="C36" s="9" t="s">
        <v>79</v>
      </c>
      <c r="D36" s="61">
        <v>20.0</v>
      </c>
      <c r="E36" s="61">
        <v>5.0</v>
      </c>
      <c r="F36" s="61">
        <v>5.0</v>
      </c>
      <c r="G36" s="61">
        <v>50.0</v>
      </c>
      <c r="H36" s="61">
        <f t="shared" si="2"/>
        <v>20</v>
      </c>
      <c r="I36" s="56">
        <f t="shared" si="1"/>
        <v>50</v>
      </c>
      <c r="J36" s="57"/>
    </row>
    <row r="37" ht="25.5" customHeight="1">
      <c r="A37" s="7">
        <v>33.0</v>
      </c>
      <c r="B37" s="8" t="s">
        <v>80</v>
      </c>
      <c r="C37" s="9" t="s">
        <v>81</v>
      </c>
      <c r="D37" s="61">
        <v>20.0</v>
      </c>
      <c r="E37" s="61">
        <v>5.0</v>
      </c>
      <c r="F37" s="61">
        <v>5.0</v>
      </c>
      <c r="G37" s="61">
        <v>39.0</v>
      </c>
      <c r="H37" s="61">
        <f t="shared" si="2"/>
        <v>15.6</v>
      </c>
      <c r="I37" s="56">
        <f t="shared" si="1"/>
        <v>46</v>
      </c>
      <c r="J37" s="57"/>
    </row>
    <row r="38" ht="25.5" customHeight="1">
      <c r="A38" s="7">
        <v>34.0</v>
      </c>
      <c r="B38" s="8" t="s">
        <v>82</v>
      </c>
      <c r="C38" s="9" t="s">
        <v>83</v>
      </c>
      <c r="D38" s="61">
        <v>20.0</v>
      </c>
      <c r="E38" s="61">
        <v>5.0</v>
      </c>
      <c r="F38" s="61">
        <v>5.0</v>
      </c>
      <c r="G38" s="61">
        <v>48.0</v>
      </c>
      <c r="H38" s="61">
        <f t="shared" si="2"/>
        <v>19.2</v>
      </c>
      <c r="I38" s="56">
        <f t="shared" si="1"/>
        <v>49</v>
      </c>
      <c r="J38" s="57"/>
    </row>
    <row r="39" ht="25.5" customHeight="1">
      <c r="A39" s="7">
        <v>35.0</v>
      </c>
      <c r="B39" s="8" t="s">
        <v>84</v>
      </c>
      <c r="C39" s="9" t="s">
        <v>85</v>
      </c>
      <c r="D39" s="61">
        <v>20.0</v>
      </c>
      <c r="E39" s="61">
        <v>5.0</v>
      </c>
      <c r="F39" s="61">
        <v>5.0</v>
      </c>
      <c r="G39" s="61">
        <v>47.0</v>
      </c>
      <c r="H39" s="61">
        <f t="shared" si="2"/>
        <v>18.8</v>
      </c>
      <c r="I39" s="56">
        <f t="shared" si="1"/>
        <v>49</v>
      </c>
      <c r="J39" s="57"/>
    </row>
    <row r="40" ht="25.5" customHeight="1">
      <c r="A40" s="7">
        <v>36.0</v>
      </c>
      <c r="B40" s="8" t="s">
        <v>86</v>
      </c>
      <c r="C40" s="9" t="s">
        <v>87</v>
      </c>
      <c r="D40" s="61">
        <v>20.0</v>
      </c>
      <c r="E40" s="61">
        <v>5.0</v>
      </c>
      <c r="F40" s="61">
        <v>5.0</v>
      </c>
      <c r="G40" s="61">
        <v>50.0</v>
      </c>
      <c r="H40" s="61">
        <f t="shared" si="2"/>
        <v>20</v>
      </c>
      <c r="I40" s="56">
        <f t="shared" si="1"/>
        <v>50</v>
      </c>
      <c r="J40" s="57"/>
    </row>
    <row r="41" ht="25.5" customHeight="1">
      <c r="A41" s="7">
        <v>37.0</v>
      </c>
      <c r="B41" s="8" t="s">
        <v>88</v>
      </c>
      <c r="C41" s="64" t="s">
        <v>89</v>
      </c>
      <c r="D41" s="61">
        <v>20.0</v>
      </c>
      <c r="E41" s="61">
        <v>5.0</v>
      </c>
      <c r="F41" s="61">
        <v>5.0</v>
      </c>
      <c r="G41" s="61">
        <v>50.0</v>
      </c>
      <c r="H41" s="61">
        <f t="shared" si="2"/>
        <v>20</v>
      </c>
      <c r="I41" s="56">
        <f t="shared" si="1"/>
        <v>50</v>
      </c>
      <c r="J41" s="57"/>
    </row>
    <row r="42" ht="25.5" customHeight="1">
      <c r="A42" s="7">
        <v>38.0</v>
      </c>
      <c r="B42" s="8" t="s">
        <v>90</v>
      </c>
      <c r="C42" s="9" t="s">
        <v>91</v>
      </c>
      <c r="D42" s="61">
        <v>20.0</v>
      </c>
      <c r="E42" s="61">
        <v>5.0</v>
      </c>
      <c r="F42" s="61">
        <v>5.0</v>
      </c>
      <c r="G42" s="61">
        <v>48.0</v>
      </c>
      <c r="H42" s="61">
        <f t="shared" si="2"/>
        <v>19.2</v>
      </c>
      <c r="I42" s="56">
        <f t="shared" si="1"/>
        <v>49</v>
      </c>
      <c r="J42" s="57"/>
    </row>
    <row r="43" ht="25.5" customHeight="1">
      <c r="A43" s="7">
        <v>39.0</v>
      </c>
      <c r="B43" s="8" t="s">
        <v>92</v>
      </c>
      <c r="C43" s="9" t="s">
        <v>93</v>
      </c>
      <c r="D43" s="61">
        <v>18.0</v>
      </c>
      <c r="E43" s="61">
        <v>5.0</v>
      </c>
      <c r="F43" s="61">
        <v>5.0</v>
      </c>
      <c r="G43" s="61">
        <v>47.0</v>
      </c>
      <c r="H43" s="61">
        <f t="shared" si="2"/>
        <v>18.8</v>
      </c>
      <c r="I43" s="56">
        <f t="shared" si="1"/>
        <v>47</v>
      </c>
      <c r="J43" s="57"/>
    </row>
    <row r="44" ht="25.5" customHeight="1">
      <c r="A44" s="7">
        <v>40.0</v>
      </c>
      <c r="B44" s="62" t="s">
        <v>94</v>
      </c>
      <c r="C44" s="9" t="s">
        <v>95</v>
      </c>
      <c r="D44" s="61">
        <v>20.0</v>
      </c>
      <c r="E44" s="61">
        <v>5.0</v>
      </c>
      <c r="F44" s="61">
        <v>5.0</v>
      </c>
      <c r="G44" s="61">
        <v>50.0</v>
      </c>
      <c r="H44" s="61">
        <f t="shared" si="2"/>
        <v>20</v>
      </c>
      <c r="I44" s="56">
        <f t="shared" si="1"/>
        <v>50</v>
      </c>
      <c r="J44" s="57"/>
    </row>
    <row r="45" ht="25.5" customHeight="1">
      <c r="A45" s="7">
        <v>41.0</v>
      </c>
      <c r="B45" s="8" t="s">
        <v>96</v>
      </c>
      <c r="C45" s="9" t="s">
        <v>97</v>
      </c>
      <c r="D45" s="61">
        <v>20.0</v>
      </c>
      <c r="E45" s="61">
        <v>5.0</v>
      </c>
      <c r="F45" s="61">
        <v>5.0</v>
      </c>
      <c r="G45" s="61">
        <v>50.0</v>
      </c>
      <c r="H45" s="61">
        <f t="shared" si="2"/>
        <v>20</v>
      </c>
      <c r="I45" s="56">
        <f t="shared" si="1"/>
        <v>50</v>
      </c>
      <c r="J45" s="57"/>
    </row>
    <row r="46" ht="25.5" customHeight="1">
      <c r="A46" s="7">
        <v>42.0</v>
      </c>
      <c r="B46" s="62" t="s">
        <v>98</v>
      </c>
      <c r="C46" s="9" t="s">
        <v>99</v>
      </c>
      <c r="D46" s="61">
        <v>20.0</v>
      </c>
      <c r="E46" s="61">
        <v>5.0</v>
      </c>
      <c r="F46" s="61">
        <v>5.0</v>
      </c>
      <c r="G46" s="61">
        <v>50.0</v>
      </c>
      <c r="H46" s="61">
        <f t="shared" si="2"/>
        <v>20</v>
      </c>
      <c r="I46" s="56">
        <f t="shared" si="1"/>
        <v>50</v>
      </c>
      <c r="J46" s="57"/>
    </row>
    <row r="47" ht="25.5" customHeight="1">
      <c r="A47" s="7">
        <v>43.0</v>
      </c>
      <c r="B47" s="8" t="s">
        <v>100</v>
      </c>
      <c r="C47" s="9" t="s">
        <v>101</v>
      </c>
      <c r="D47" s="61">
        <v>20.0</v>
      </c>
      <c r="E47" s="61">
        <v>5.0</v>
      </c>
      <c r="F47" s="61">
        <v>5.0</v>
      </c>
      <c r="G47" s="61">
        <v>50.0</v>
      </c>
      <c r="H47" s="61">
        <f t="shared" si="2"/>
        <v>20</v>
      </c>
      <c r="I47" s="56">
        <f t="shared" si="1"/>
        <v>50</v>
      </c>
      <c r="J47" s="57"/>
    </row>
    <row r="48" ht="25.5" customHeight="1">
      <c r="A48" s="7">
        <v>44.0</v>
      </c>
      <c r="B48" s="8" t="s">
        <v>102</v>
      </c>
      <c r="C48" s="9" t="s">
        <v>103</v>
      </c>
      <c r="D48" s="61">
        <v>20.0</v>
      </c>
      <c r="E48" s="61">
        <v>5.0</v>
      </c>
      <c r="F48" s="61">
        <v>5.0</v>
      </c>
      <c r="G48" s="61">
        <v>50.0</v>
      </c>
      <c r="H48" s="61">
        <f t="shared" si="2"/>
        <v>20</v>
      </c>
      <c r="I48" s="56">
        <f t="shared" si="1"/>
        <v>50</v>
      </c>
      <c r="J48" s="57"/>
    </row>
    <row r="49" ht="25.5" customHeight="1">
      <c r="A49" s="7">
        <v>45.0</v>
      </c>
      <c r="B49" s="8" t="s">
        <v>104</v>
      </c>
      <c r="C49" s="9" t="s">
        <v>105</v>
      </c>
      <c r="D49" s="61">
        <v>20.0</v>
      </c>
      <c r="E49" s="61">
        <v>5.0</v>
      </c>
      <c r="F49" s="61">
        <v>5.0</v>
      </c>
      <c r="G49" s="61">
        <v>50.0</v>
      </c>
      <c r="H49" s="61">
        <f t="shared" si="2"/>
        <v>20</v>
      </c>
      <c r="I49" s="56">
        <f t="shared" si="1"/>
        <v>50</v>
      </c>
      <c r="J49" s="57"/>
    </row>
    <row r="50" ht="25.5" customHeight="1">
      <c r="A50" s="7">
        <v>46.0</v>
      </c>
      <c r="B50" s="8" t="s">
        <v>106</v>
      </c>
      <c r="C50" s="9" t="s">
        <v>107</v>
      </c>
      <c r="D50" s="61">
        <v>20.0</v>
      </c>
      <c r="E50" s="61">
        <v>5.0</v>
      </c>
      <c r="F50" s="61">
        <v>5.0</v>
      </c>
      <c r="G50" s="61">
        <v>45.0</v>
      </c>
      <c r="H50" s="61">
        <f t="shared" si="2"/>
        <v>18</v>
      </c>
      <c r="I50" s="56">
        <f t="shared" si="1"/>
        <v>48</v>
      </c>
      <c r="J50" s="57"/>
    </row>
    <row r="51" ht="25.5" customHeight="1">
      <c r="A51" s="7">
        <v>47.0</v>
      </c>
      <c r="B51" s="8" t="s">
        <v>108</v>
      </c>
      <c r="C51" s="9" t="s">
        <v>109</v>
      </c>
      <c r="D51" s="61">
        <v>20.0</v>
      </c>
      <c r="E51" s="61">
        <v>5.0</v>
      </c>
      <c r="F51" s="61">
        <v>5.0</v>
      </c>
      <c r="G51" s="61">
        <v>50.0</v>
      </c>
      <c r="H51" s="61">
        <f t="shared" si="2"/>
        <v>20</v>
      </c>
      <c r="I51" s="56">
        <f t="shared" si="1"/>
        <v>50</v>
      </c>
      <c r="J51" s="57"/>
    </row>
    <row r="52" ht="25.5" customHeight="1">
      <c r="A52" s="7">
        <v>48.0</v>
      </c>
      <c r="B52" s="62" t="s">
        <v>110</v>
      </c>
      <c r="C52" s="9" t="s">
        <v>111</v>
      </c>
      <c r="D52" s="61">
        <v>20.0</v>
      </c>
      <c r="E52" s="61">
        <v>5.0</v>
      </c>
      <c r="F52" s="61">
        <v>5.0</v>
      </c>
      <c r="G52" s="61">
        <v>46.0</v>
      </c>
      <c r="H52" s="61">
        <f t="shared" si="2"/>
        <v>18.4</v>
      </c>
      <c r="I52" s="56">
        <f t="shared" si="1"/>
        <v>48</v>
      </c>
      <c r="J52" s="57"/>
    </row>
    <row r="53" ht="25.5" customHeight="1">
      <c r="A53" s="7">
        <v>49.0</v>
      </c>
      <c r="B53" s="8" t="s">
        <v>112</v>
      </c>
      <c r="C53" s="9" t="s">
        <v>113</v>
      </c>
      <c r="D53" s="61">
        <v>20.0</v>
      </c>
      <c r="E53" s="61">
        <v>5.0</v>
      </c>
      <c r="F53" s="61">
        <v>5.0</v>
      </c>
      <c r="G53" s="61">
        <v>41.0</v>
      </c>
      <c r="H53" s="61">
        <f t="shared" si="2"/>
        <v>16.4</v>
      </c>
      <c r="I53" s="56">
        <f t="shared" si="1"/>
        <v>46</v>
      </c>
      <c r="J53" s="57"/>
    </row>
    <row r="54" ht="25.5" customHeight="1">
      <c r="A54" s="7">
        <v>50.0</v>
      </c>
      <c r="B54" s="8" t="s">
        <v>114</v>
      </c>
      <c r="C54" s="9" t="s">
        <v>115</v>
      </c>
      <c r="D54" s="61">
        <v>20.0</v>
      </c>
      <c r="E54" s="61">
        <v>5.0</v>
      </c>
      <c r="F54" s="61">
        <v>5.0</v>
      </c>
      <c r="G54" s="61">
        <v>48.0</v>
      </c>
      <c r="H54" s="61">
        <f t="shared" si="2"/>
        <v>19.2</v>
      </c>
      <c r="I54" s="56">
        <f t="shared" si="1"/>
        <v>49</v>
      </c>
      <c r="J54" s="57"/>
    </row>
    <row r="55" ht="25.5" customHeight="1">
      <c r="A55" s="7">
        <v>51.0</v>
      </c>
      <c r="B55" s="8" t="s">
        <v>116</v>
      </c>
      <c r="C55" s="9" t="s">
        <v>117</v>
      </c>
      <c r="D55" s="61">
        <v>20.0</v>
      </c>
      <c r="E55" s="61">
        <v>5.0</v>
      </c>
      <c r="F55" s="61">
        <v>5.0</v>
      </c>
      <c r="G55" s="61">
        <v>40.0</v>
      </c>
      <c r="H55" s="61">
        <f t="shared" si="2"/>
        <v>16</v>
      </c>
      <c r="I55" s="56">
        <f t="shared" si="1"/>
        <v>46</v>
      </c>
      <c r="J55" s="57"/>
    </row>
    <row r="56" ht="25.5" customHeight="1">
      <c r="A56" s="7">
        <v>52.0</v>
      </c>
      <c r="B56" s="8" t="s">
        <v>118</v>
      </c>
      <c r="C56" s="9" t="s">
        <v>119</v>
      </c>
      <c r="D56" s="61">
        <v>20.0</v>
      </c>
      <c r="E56" s="61">
        <v>5.0</v>
      </c>
      <c r="F56" s="61">
        <v>5.0</v>
      </c>
      <c r="G56" s="61">
        <v>50.0</v>
      </c>
      <c r="H56" s="61">
        <f t="shared" si="2"/>
        <v>20</v>
      </c>
      <c r="I56" s="56">
        <f t="shared" si="1"/>
        <v>50</v>
      </c>
      <c r="J56" s="57"/>
    </row>
    <row r="57" ht="25.5" customHeight="1">
      <c r="A57" s="7">
        <v>53.0</v>
      </c>
      <c r="B57" s="8" t="s">
        <v>120</v>
      </c>
      <c r="C57" s="9" t="s">
        <v>121</v>
      </c>
      <c r="D57" s="61">
        <v>20.0</v>
      </c>
      <c r="E57" s="61">
        <v>5.0</v>
      </c>
      <c r="F57" s="61">
        <v>5.0</v>
      </c>
      <c r="G57" s="61">
        <v>47.0</v>
      </c>
      <c r="H57" s="61">
        <f t="shared" si="2"/>
        <v>18.8</v>
      </c>
      <c r="I57" s="56">
        <f t="shared" si="1"/>
        <v>49</v>
      </c>
      <c r="J57" s="57"/>
    </row>
    <row r="58" ht="25.5" customHeight="1">
      <c r="A58" s="7">
        <v>54.0</v>
      </c>
      <c r="B58" s="8" t="s">
        <v>122</v>
      </c>
      <c r="C58" s="64" t="s">
        <v>123</v>
      </c>
      <c r="D58" s="61">
        <v>20.0</v>
      </c>
      <c r="E58" s="61">
        <v>5.0</v>
      </c>
      <c r="F58" s="61">
        <v>5.0</v>
      </c>
      <c r="G58" s="61">
        <v>50.0</v>
      </c>
      <c r="H58" s="61">
        <f t="shared" si="2"/>
        <v>20</v>
      </c>
      <c r="I58" s="56">
        <f t="shared" si="1"/>
        <v>50</v>
      </c>
      <c r="J58" s="57"/>
    </row>
    <row r="59" ht="25.5" customHeight="1">
      <c r="A59" s="7">
        <v>55.0</v>
      </c>
      <c r="B59" s="62" t="s">
        <v>124</v>
      </c>
      <c r="C59" s="9" t="s">
        <v>125</v>
      </c>
      <c r="D59" s="61">
        <v>20.0</v>
      </c>
      <c r="E59" s="61">
        <v>5.0</v>
      </c>
      <c r="F59" s="61">
        <v>5.0</v>
      </c>
      <c r="G59" s="61">
        <v>50.0</v>
      </c>
      <c r="H59" s="61">
        <f t="shared" si="2"/>
        <v>20</v>
      </c>
      <c r="I59" s="56">
        <f t="shared" si="1"/>
        <v>50</v>
      </c>
      <c r="J59" s="57"/>
    </row>
    <row r="60" ht="25.5" customHeight="1">
      <c r="A60" s="7">
        <v>56.0</v>
      </c>
      <c r="B60" s="8" t="s">
        <v>126</v>
      </c>
      <c r="C60" s="9" t="s">
        <v>127</v>
      </c>
      <c r="D60" s="61">
        <v>20.0</v>
      </c>
      <c r="E60" s="61">
        <v>5.0</v>
      </c>
      <c r="F60" s="61">
        <v>5.0</v>
      </c>
      <c r="G60" s="61">
        <v>45.0</v>
      </c>
      <c r="H60" s="61">
        <f t="shared" si="2"/>
        <v>18</v>
      </c>
      <c r="I60" s="56">
        <f t="shared" si="1"/>
        <v>48</v>
      </c>
      <c r="J60" s="57"/>
    </row>
    <row r="61" ht="25.5" customHeight="1">
      <c r="A61" s="7">
        <v>57.0</v>
      </c>
      <c r="B61" s="8" t="s">
        <v>128</v>
      </c>
      <c r="C61" s="9" t="s">
        <v>129</v>
      </c>
      <c r="D61" s="61">
        <v>20.0</v>
      </c>
      <c r="E61" s="61">
        <v>5.0</v>
      </c>
      <c r="F61" s="61">
        <v>5.0</v>
      </c>
      <c r="G61" s="61">
        <v>50.0</v>
      </c>
      <c r="H61" s="61">
        <f t="shared" si="2"/>
        <v>20</v>
      </c>
      <c r="I61" s="56">
        <f t="shared" si="1"/>
        <v>50</v>
      </c>
      <c r="J61" s="57"/>
    </row>
    <row r="62" ht="25.5" customHeight="1">
      <c r="A62" s="7">
        <v>58.0</v>
      </c>
      <c r="B62" s="8" t="s">
        <v>130</v>
      </c>
      <c r="C62" s="9" t="s">
        <v>131</v>
      </c>
      <c r="D62" s="61">
        <v>20.0</v>
      </c>
      <c r="E62" s="61">
        <v>5.0</v>
      </c>
      <c r="F62" s="61">
        <v>5.0</v>
      </c>
      <c r="G62" s="61">
        <v>50.0</v>
      </c>
      <c r="H62" s="61">
        <f t="shared" si="2"/>
        <v>20</v>
      </c>
      <c r="I62" s="56">
        <f t="shared" si="1"/>
        <v>50</v>
      </c>
      <c r="J62" s="57"/>
    </row>
    <row r="63" ht="25.5" customHeight="1">
      <c r="A63" s="7">
        <v>59.0</v>
      </c>
      <c r="B63" s="8" t="s">
        <v>132</v>
      </c>
      <c r="C63" s="9" t="s">
        <v>133</v>
      </c>
      <c r="D63" s="61">
        <v>18.0</v>
      </c>
      <c r="E63" s="61">
        <v>5.0</v>
      </c>
      <c r="F63" s="61">
        <v>5.0</v>
      </c>
      <c r="G63" s="61">
        <v>45.0</v>
      </c>
      <c r="H63" s="61">
        <f t="shared" si="2"/>
        <v>18</v>
      </c>
      <c r="I63" s="56">
        <f t="shared" si="1"/>
        <v>46</v>
      </c>
      <c r="J63" s="57"/>
    </row>
    <row r="64" ht="25.5" customHeight="1">
      <c r="A64" s="7">
        <v>60.0</v>
      </c>
      <c r="B64" s="8" t="s">
        <v>134</v>
      </c>
      <c r="C64" s="9" t="s">
        <v>135</v>
      </c>
      <c r="D64" s="61">
        <v>20.0</v>
      </c>
      <c r="E64" s="61">
        <v>5.0</v>
      </c>
      <c r="F64" s="61">
        <v>5.0</v>
      </c>
      <c r="G64" s="61">
        <v>45.0</v>
      </c>
      <c r="H64" s="61">
        <f t="shared" si="2"/>
        <v>18</v>
      </c>
      <c r="I64" s="56">
        <f t="shared" si="1"/>
        <v>48</v>
      </c>
      <c r="J64" s="57"/>
    </row>
    <row r="65" ht="25.5" customHeight="1">
      <c r="A65" s="7">
        <v>61.0</v>
      </c>
      <c r="B65" s="8" t="s">
        <v>136</v>
      </c>
      <c r="C65" s="9" t="s">
        <v>137</v>
      </c>
      <c r="D65" s="61">
        <v>20.0</v>
      </c>
      <c r="E65" s="61">
        <v>5.0</v>
      </c>
      <c r="F65" s="61">
        <v>5.0</v>
      </c>
      <c r="G65" s="61">
        <v>49.0</v>
      </c>
      <c r="H65" s="61">
        <f t="shared" si="2"/>
        <v>19.6</v>
      </c>
      <c r="I65" s="56">
        <f t="shared" si="1"/>
        <v>50</v>
      </c>
      <c r="J65" s="57"/>
    </row>
    <row r="66" ht="25.5" customHeight="1">
      <c r="A66" s="7">
        <v>62.0</v>
      </c>
      <c r="B66" s="8" t="s">
        <v>138</v>
      </c>
      <c r="C66" s="9" t="s">
        <v>139</v>
      </c>
      <c r="D66" s="61">
        <v>18.0</v>
      </c>
      <c r="E66" s="61">
        <v>5.0</v>
      </c>
      <c r="F66" s="61">
        <v>5.0</v>
      </c>
      <c r="G66" s="61">
        <v>38.0</v>
      </c>
      <c r="H66" s="61">
        <f t="shared" si="2"/>
        <v>15.2</v>
      </c>
      <c r="I66" s="56">
        <f t="shared" si="1"/>
        <v>43</v>
      </c>
      <c r="J66" s="57"/>
    </row>
    <row r="67" ht="25.5" customHeight="1">
      <c r="A67" s="7">
        <v>63.0</v>
      </c>
      <c r="B67" s="8" t="s">
        <v>140</v>
      </c>
      <c r="C67" s="9" t="s">
        <v>141</v>
      </c>
      <c r="D67" s="61">
        <v>18.0</v>
      </c>
      <c r="E67" s="61">
        <v>5.0</v>
      </c>
      <c r="F67" s="61">
        <v>5.0</v>
      </c>
      <c r="G67" s="61">
        <v>38.0</v>
      </c>
      <c r="H67" s="61">
        <f t="shared" si="2"/>
        <v>15.2</v>
      </c>
      <c r="I67" s="56">
        <f t="shared" si="1"/>
        <v>43</v>
      </c>
      <c r="J67" s="57"/>
    </row>
    <row r="68" ht="25.5" customHeight="1">
      <c r="A68" s="7">
        <v>64.0</v>
      </c>
      <c r="B68" s="8" t="s">
        <v>142</v>
      </c>
      <c r="C68" s="9" t="s">
        <v>143</v>
      </c>
      <c r="D68" s="61">
        <v>20.0</v>
      </c>
      <c r="E68" s="61">
        <v>5.0</v>
      </c>
      <c r="F68" s="61">
        <v>5.0</v>
      </c>
      <c r="G68" s="61">
        <v>43.0</v>
      </c>
      <c r="H68" s="61">
        <f t="shared" si="2"/>
        <v>17.2</v>
      </c>
      <c r="I68" s="56">
        <f t="shared" si="1"/>
        <v>47</v>
      </c>
      <c r="J68" s="57"/>
    </row>
    <row r="69" ht="25.5" customHeight="1">
      <c r="A69" s="7">
        <v>65.0</v>
      </c>
      <c r="B69" s="8" t="s">
        <v>144</v>
      </c>
      <c r="C69" s="9" t="s">
        <v>145</v>
      </c>
      <c r="D69" s="61">
        <v>20.0</v>
      </c>
      <c r="E69" s="61">
        <v>5.0</v>
      </c>
      <c r="F69" s="61">
        <v>5.0</v>
      </c>
      <c r="G69" s="61">
        <v>45.0</v>
      </c>
      <c r="H69" s="61">
        <f t="shared" si="2"/>
        <v>18</v>
      </c>
      <c r="I69" s="56">
        <f t="shared" si="1"/>
        <v>48</v>
      </c>
      <c r="J69" s="57"/>
    </row>
    <row r="70" ht="25.5" customHeight="1">
      <c r="A70" s="7">
        <v>66.0</v>
      </c>
      <c r="B70" s="62" t="s">
        <v>146</v>
      </c>
      <c r="C70" s="9" t="s">
        <v>147</v>
      </c>
      <c r="D70" s="61">
        <v>20.0</v>
      </c>
      <c r="E70" s="61">
        <v>5.0</v>
      </c>
      <c r="F70" s="61">
        <v>5.0</v>
      </c>
      <c r="G70" s="61">
        <v>48.0</v>
      </c>
      <c r="H70" s="61">
        <f t="shared" si="2"/>
        <v>19.2</v>
      </c>
      <c r="I70" s="56">
        <f t="shared" si="1"/>
        <v>49</v>
      </c>
      <c r="J70" s="57"/>
    </row>
    <row r="71" ht="25.5" customHeight="1">
      <c r="A71" s="7">
        <v>67.0</v>
      </c>
      <c r="B71" s="8" t="s">
        <v>148</v>
      </c>
      <c r="C71" s="9" t="s">
        <v>149</v>
      </c>
      <c r="D71" s="61">
        <v>20.0</v>
      </c>
      <c r="E71" s="61">
        <v>5.0</v>
      </c>
      <c r="F71" s="61">
        <v>5.0</v>
      </c>
      <c r="G71" s="61">
        <v>45.0</v>
      </c>
      <c r="H71" s="61">
        <f t="shared" si="2"/>
        <v>18</v>
      </c>
      <c r="I71" s="56">
        <f t="shared" si="1"/>
        <v>48</v>
      </c>
      <c r="J71" s="57"/>
    </row>
    <row r="72" ht="14.25" customHeight="1">
      <c r="D72" s="54"/>
      <c r="E72" s="54"/>
      <c r="F72" s="54"/>
      <c r="G72" s="54"/>
      <c r="H72" s="54"/>
      <c r="I72" s="54"/>
    </row>
    <row r="73" ht="14.25" customHeight="1">
      <c r="D73" s="54"/>
      <c r="E73" s="54"/>
      <c r="F73" s="54"/>
      <c r="G73" s="54"/>
      <c r="H73" s="54"/>
      <c r="I73" s="54"/>
    </row>
    <row r="74" ht="14.25" customHeight="1">
      <c r="D74" s="54"/>
      <c r="E74" s="54"/>
      <c r="F74" s="54"/>
      <c r="G74" s="54"/>
      <c r="H74" s="54"/>
      <c r="I74" s="54"/>
    </row>
    <row r="75" ht="14.25" customHeight="1">
      <c r="D75" s="54"/>
      <c r="E75" s="54"/>
      <c r="F75" s="54"/>
      <c r="G75" s="54"/>
      <c r="H75" s="54"/>
      <c r="I75" s="54"/>
    </row>
    <row r="76" ht="14.25" customHeight="1">
      <c r="D76" s="54"/>
      <c r="E76" s="54"/>
      <c r="F76" s="54"/>
      <c r="G76" s="54"/>
      <c r="H76" s="54"/>
      <c r="I76" s="54"/>
    </row>
    <row r="77" ht="14.25" customHeight="1">
      <c r="D77" s="54"/>
      <c r="E77" s="54"/>
      <c r="F77" s="54"/>
      <c r="G77" s="54"/>
      <c r="H77" s="54"/>
      <c r="I77" s="54"/>
    </row>
    <row r="78" ht="14.25" customHeight="1">
      <c r="D78" s="54"/>
      <c r="E78" s="54"/>
      <c r="F78" s="54"/>
      <c r="G78" s="54"/>
      <c r="H78" s="54"/>
      <c r="I78" s="54"/>
    </row>
    <row r="79" ht="14.25" customHeight="1">
      <c r="D79" s="54"/>
      <c r="E79" s="54"/>
      <c r="F79" s="54"/>
      <c r="G79" s="54"/>
      <c r="H79" s="54"/>
      <c r="I79" s="54"/>
    </row>
    <row r="80" ht="14.25" customHeight="1">
      <c r="D80" s="54"/>
      <c r="E80" s="54"/>
      <c r="F80" s="54"/>
      <c r="G80" s="54"/>
      <c r="H80" s="54"/>
      <c r="I80" s="54"/>
    </row>
    <row r="81" ht="14.25" customHeight="1">
      <c r="D81" s="54"/>
      <c r="E81" s="54"/>
      <c r="F81" s="54"/>
      <c r="G81" s="54"/>
      <c r="H81" s="54"/>
      <c r="I81" s="54"/>
    </row>
    <row r="82" ht="14.25" customHeight="1">
      <c r="D82" s="54"/>
      <c r="E82" s="54"/>
      <c r="F82" s="54"/>
      <c r="G82" s="54"/>
      <c r="H82" s="54"/>
      <c r="I82" s="54"/>
    </row>
    <row r="83" ht="14.25" customHeight="1">
      <c r="D83" s="54"/>
      <c r="E83" s="54"/>
      <c r="F83" s="54"/>
      <c r="G83" s="54"/>
      <c r="H83" s="54"/>
      <c r="I83" s="54"/>
    </row>
    <row r="84" ht="14.25" customHeight="1">
      <c r="D84" s="54"/>
      <c r="E84" s="54"/>
      <c r="F84" s="54"/>
      <c r="G84" s="54"/>
      <c r="H84" s="54"/>
      <c r="I84" s="54"/>
    </row>
    <row r="85" ht="14.25" customHeight="1">
      <c r="D85" s="54"/>
      <c r="E85" s="54"/>
      <c r="F85" s="54"/>
      <c r="G85" s="54"/>
      <c r="H85" s="54"/>
      <c r="I85" s="54"/>
    </row>
    <row r="86" ht="14.25" customHeight="1">
      <c r="D86" s="54"/>
      <c r="E86" s="54"/>
      <c r="F86" s="54"/>
      <c r="G86" s="54"/>
      <c r="H86" s="54"/>
      <c r="I86" s="54"/>
    </row>
    <row r="87" ht="14.25" customHeight="1">
      <c r="D87" s="54"/>
      <c r="E87" s="54"/>
      <c r="F87" s="54"/>
      <c r="G87" s="54"/>
      <c r="H87" s="54"/>
      <c r="I87" s="54"/>
    </row>
    <row r="88" ht="14.25" customHeight="1">
      <c r="D88" s="54"/>
      <c r="E88" s="54"/>
      <c r="F88" s="54"/>
      <c r="G88" s="54"/>
      <c r="H88" s="54"/>
      <c r="I88" s="54"/>
    </row>
    <row r="89" ht="14.25" customHeight="1">
      <c r="D89" s="54"/>
      <c r="E89" s="54"/>
      <c r="F89" s="54"/>
      <c r="G89" s="54"/>
      <c r="H89" s="54"/>
      <c r="I89" s="54"/>
    </row>
    <row r="90" ht="14.25" customHeight="1">
      <c r="D90" s="54"/>
      <c r="E90" s="54"/>
      <c r="F90" s="54"/>
      <c r="G90" s="54"/>
      <c r="H90" s="54"/>
      <c r="I90" s="54"/>
    </row>
    <row r="91" ht="14.25" customHeight="1">
      <c r="D91" s="54"/>
      <c r="E91" s="54"/>
      <c r="F91" s="54"/>
      <c r="G91" s="54"/>
      <c r="H91" s="54"/>
      <c r="I91" s="54"/>
    </row>
    <row r="92" ht="14.25" customHeight="1">
      <c r="D92" s="54"/>
      <c r="E92" s="54"/>
      <c r="F92" s="54"/>
      <c r="G92" s="54"/>
      <c r="H92" s="54"/>
      <c r="I92" s="54"/>
    </row>
    <row r="93" ht="14.25" customHeight="1">
      <c r="D93" s="54"/>
      <c r="E93" s="54"/>
      <c r="F93" s="54"/>
      <c r="G93" s="54"/>
      <c r="H93" s="54"/>
      <c r="I93" s="54"/>
    </row>
    <row r="94" ht="14.25" customHeight="1">
      <c r="D94" s="54"/>
      <c r="E94" s="54"/>
      <c r="F94" s="54"/>
      <c r="G94" s="54"/>
      <c r="H94" s="54"/>
      <c r="I94" s="54"/>
    </row>
    <row r="95" ht="14.25" customHeight="1">
      <c r="D95" s="54"/>
      <c r="E95" s="54"/>
      <c r="F95" s="54"/>
      <c r="G95" s="54"/>
      <c r="H95" s="54"/>
      <c r="I95" s="54"/>
    </row>
    <row r="96" ht="14.25" customHeight="1">
      <c r="D96" s="54"/>
      <c r="E96" s="54"/>
      <c r="F96" s="54"/>
      <c r="G96" s="54"/>
      <c r="H96" s="54"/>
      <c r="I96" s="54"/>
    </row>
    <row r="97" ht="14.25" customHeight="1">
      <c r="D97" s="54"/>
      <c r="E97" s="54"/>
      <c r="F97" s="54"/>
      <c r="G97" s="54"/>
      <c r="H97" s="54"/>
      <c r="I97" s="54"/>
    </row>
    <row r="98" ht="14.25" customHeight="1">
      <c r="D98" s="54"/>
      <c r="E98" s="54"/>
      <c r="F98" s="54"/>
      <c r="G98" s="54"/>
      <c r="H98" s="54"/>
      <c r="I98" s="54"/>
    </row>
    <row r="99" ht="14.25" customHeight="1">
      <c r="D99" s="54"/>
      <c r="E99" s="54"/>
      <c r="F99" s="54"/>
      <c r="G99" s="54"/>
      <c r="H99" s="54"/>
      <c r="I99" s="54"/>
    </row>
    <row r="100" ht="14.25" customHeight="1">
      <c r="D100" s="54"/>
      <c r="E100" s="54"/>
      <c r="F100" s="54"/>
      <c r="G100" s="54"/>
      <c r="H100" s="54"/>
      <c r="I100" s="54"/>
    </row>
    <row r="101" ht="14.25" customHeight="1">
      <c r="D101" s="54"/>
      <c r="E101" s="54"/>
      <c r="F101" s="54"/>
      <c r="G101" s="54"/>
      <c r="H101" s="54"/>
      <c r="I101" s="54"/>
    </row>
    <row r="102" ht="14.25" customHeight="1">
      <c r="D102" s="54"/>
      <c r="E102" s="54"/>
      <c r="F102" s="54"/>
      <c r="G102" s="54"/>
      <c r="H102" s="54"/>
      <c r="I102" s="54"/>
    </row>
    <row r="103" ht="14.25" customHeight="1">
      <c r="D103" s="54"/>
      <c r="E103" s="54"/>
      <c r="F103" s="54"/>
      <c r="G103" s="54"/>
      <c r="H103" s="54"/>
      <c r="I103" s="54"/>
    </row>
    <row r="104" ht="14.25" customHeight="1">
      <c r="D104" s="54"/>
      <c r="E104" s="54"/>
      <c r="F104" s="54"/>
      <c r="G104" s="54"/>
      <c r="H104" s="54"/>
      <c r="I104" s="54"/>
    </row>
    <row r="105" ht="14.25" customHeight="1">
      <c r="D105" s="54"/>
      <c r="E105" s="54"/>
      <c r="F105" s="54"/>
      <c r="G105" s="54"/>
      <c r="H105" s="54"/>
      <c r="I105" s="54"/>
    </row>
    <row r="106" ht="14.25" customHeight="1">
      <c r="D106" s="54"/>
      <c r="E106" s="54"/>
      <c r="F106" s="54"/>
      <c r="G106" s="54"/>
      <c r="H106" s="54"/>
      <c r="I106" s="54"/>
    </row>
    <row r="107" ht="14.25" customHeight="1">
      <c r="D107" s="54"/>
      <c r="E107" s="54"/>
      <c r="F107" s="54"/>
      <c r="G107" s="54"/>
      <c r="H107" s="54"/>
      <c r="I107" s="54"/>
    </row>
    <row r="108" ht="14.25" customHeight="1">
      <c r="D108" s="54"/>
      <c r="E108" s="54"/>
      <c r="F108" s="54"/>
      <c r="G108" s="54"/>
      <c r="H108" s="54"/>
      <c r="I108" s="54"/>
    </row>
    <row r="109" ht="14.25" customHeight="1">
      <c r="D109" s="54"/>
      <c r="E109" s="54"/>
      <c r="F109" s="54"/>
      <c r="G109" s="54"/>
      <c r="H109" s="54"/>
      <c r="I109" s="54"/>
    </row>
    <row r="110" ht="14.25" customHeight="1">
      <c r="D110" s="54"/>
      <c r="E110" s="54"/>
      <c r="F110" s="54"/>
      <c r="G110" s="54"/>
      <c r="H110" s="54"/>
      <c r="I110" s="54"/>
    </row>
    <row r="111" ht="14.25" customHeight="1">
      <c r="D111" s="54"/>
      <c r="E111" s="54"/>
      <c r="F111" s="54"/>
      <c r="G111" s="54"/>
      <c r="H111" s="54"/>
      <c r="I111" s="54"/>
    </row>
    <row r="112" ht="14.25" customHeight="1">
      <c r="D112" s="54"/>
      <c r="E112" s="54"/>
      <c r="F112" s="54"/>
      <c r="G112" s="54"/>
      <c r="H112" s="54"/>
      <c r="I112" s="54"/>
    </row>
    <row r="113" ht="14.25" customHeight="1">
      <c r="D113" s="54"/>
      <c r="E113" s="54"/>
      <c r="F113" s="54"/>
      <c r="G113" s="54"/>
      <c r="H113" s="54"/>
      <c r="I113" s="54"/>
    </row>
    <row r="114" ht="14.25" customHeight="1">
      <c r="D114" s="54"/>
      <c r="E114" s="54"/>
      <c r="F114" s="54"/>
      <c r="G114" s="54"/>
      <c r="H114" s="54"/>
      <c r="I114" s="54"/>
    </row>
    <row r="115" ht="14.25" customHeight="1">
      <c r="D115" s="54"/>
      <c r="E115" s="54"/>
      <c r="F115" s="54"/>
      <c r="G115" s="54"/>
      <c r="H115" s="54"/>
      <c r="I115" s="54"/>
    </row>
    <row r="116" ht="14.25" customHeight="1">
      <c r="D116" s="54"/>
      <c r="E116" s="54"/>
      <c r="F116" s="54"/>
      <c r="G116" s="54"/>
      <c r="H116" s="54"/>
      <c r="I116" s="54"/>
    </row>
    <row r="117" ht="14.25" customHeight="1">
      <c r="D117" s="54"/>
      <c r="E117" s="54"/>
      <c r="F117" s="54"/>
      <c r="G117" s="54"/>
      <c r="H117" s="54"/>
      <c r="I117" s="54"/>
    </row>
    <row r="118" ht="14.25" customHeight="1">
      <c r="D118" s="54"/>
      <c r="E118" s="54"/>
      <c r="F118" s="54"/>
      <c r="G118" s="54"/>
      <c r="H118" s="54"/>
      <c r="I118" s="54"/>
    </row>
    <row r="119" ht="14.25" customHeight="1">
      <c r="D119" s="54"/>
      <c r="E119" s="54"/>
      <c r="F119" s="54"/>
      <c r="G119" s="54"/>
      <c r="H119" s="54"/>
      <c r="I119" s="54"/>
    </row>
    <row r="120" ht="14.25" customHeight="1">
      <c r="D120" s="54"/>
      <c r="E120" s="54"/>
      <c r="F120" s="54"/>
      <c r="G120" s="54"/>
      <c r="H120" s="54"/>
      <c r="I120" s="54"/>
    </row>
    <row r="121" ht="14.25" customHeight="1">
      <c r="D121" s="54"/>
      <c r="E121" s="54"/>
      <c r="F121" s="54"/>
      <c r="G121" s="54"/>
      <c r="H121" s="54"/>
      <c r="I121" s="54"/>
    </row>
    <row r="122" ht="14.25" customHeight="1">
      <c r="D122" s="54"/>
      <c r="E122" s="54"/>
      <c r="F122" s="54"/>
      <c r="G122" s="54"/>
      <c r="H122" s="54"/>
      <c r="I122" s="54"/>
    </row>
    <row r="123" ht="14.25" customHeight="1">
      <c r="D123" s="54"/>
      <c r="E123" s="54"/>
      <c r="F123" s="54"/>
      <c r="G123" s="54"/>
      <c r="H123" s="54"/>
      <c r="I123" s="54"/>
    </row>
    <row r="124" ht="14.25" customHeight="1">
      <c r="D124" s="54"/>
      <c r="E124" s="54"/>
      <c r="F124" s="54"/>
      <c r="G124" s="54"/>
      <c r="H124" s="54"/>
      <c r="I124" s="54"/>
    </row>
    <row r="125" ht="14.25" customHeight="1">
      <c r="D125" s="54"/>
      <c r="E125" s="54"/>
      <c r="F125" s="54"/>
      <c r="G125" s="54"/>
      <c r="H125" s="54"/>
      <c r="I125" s="54"/>
    </row>
    <row r="126" ht="14.25" customHeight="1">
      <c r="D126" s="54"/>
      <c r="E126" s="54"/>
      <c r="F126" s="54"/>
      <c r="G126" s="54"/>
      <c r="H126" s="54"/>
      <c r="I126" s="54"/>
    </row>
    <row r="127" ht="14.25" customHeight="1">
      <c r="D127" s="54"/>
      <c r="E127" s="54"/>
      <c r="F127" s="54"/>
      <c r="G127" s="54"/>
      <c r="H127" s="54"/>
      <c r="I127" s="54"/>
    </row>
    <row r="128" ht="14.25" customHeight="1">
      <c r="D128" s="54"/>
      <c r="E128" s="54"/>
      <c r="F128" s="54"/>
      <c r="G128" s="54"/>
      <c r="H128" s="54"/>
      <c r="I128" s="54"/>
    </row>
    <row r="129" ht="14.25" customHeight="1">
      <c r="D129" s="54"/>
      <c r="E129" s="54"/>
      <c r="F129" s="54"/>
      <c r="G129" s="54"/>
      <c r="H129" s="54"/>
      <c r="I129" s="54"/>
    </row>
    <row r="130" ht="14.25" customHeight="1">
      <c r="D130" s="54"/>
      <c r="E130" s="54"/>
      <c r="F130" s="54"/>
      <c r="G130" s="54"/>
      <c r="H130" s="54"/>
      <c r="I130" s="54"/>
    </row>
    <row r="131" ht="14.25" customHeight="1">
      <c r="D131" s="54"/>
      <c r="E131" s="54"/>
      <c r="F131" s="54"/>
      <c r="G131" s="54"/>
      <c r="H131" s="54"/>
      <c r="I131" s="54"/>
    </row>
    <row r="132" ht="14.25" customHeight="1">
      <c r="D132" s="54"/>
      <c r="E132" s="54"/>
      <c r="F132" s="54"/>
      <c r="G132" s="54"/>
      <c r="H132" s="54"/>
      <c r="I132" s="54"/>
    </row>
    <row r="133" ht="14.25" customHeight="1">
      <c r="D133" s="54"/>
      <c r="E133" s="54"/>
      <c r="F133" s="54"/>
      <c r="G133" s="54"/>
      <c r="H133" s="54"/>
      <c r="I133" s="54"/>
    </row>
    <row r="134" ht="14.25" customHeight="1">
      <c r="D134" s="54"/>
      <c r="E134" s="54"/>
      <c r="F134" s="54"/>
      <c r="G134" s="54"/>
      <c r="H134" s="54"/>
      <c r="I134" s="54"/>
    </row>
    <row r="135" ht="14.25" customHeight="1">
      <c r="D135" s="54"/>
      <c r="E135" s="54"/>
      <c r="F135" s="54"/>
      <c r="G135" s="54"/>
      <c r="H135" s="54"/>
      <c r="I135" s="54"/>
    </row>
    <row r="136" ht="14.25" customHeight="1">
      <c r="D136" s="54"/>
      <c r="E136" s="54"/>
      <c r="F136" s="54"/>
      <c r="G136" s="54"/>
      <c r="H136" s="54"/>
      <c r="I136" s="54"/>
    </row>
    <row r="137" ht="14.25" customHeight="1">
      <c r="D137" s="54"/>
      <c r="E137" s="54"/>
      <c r="F137" s="54"/>
      <c r="G137" s="54"/>
      <c r="H137" s="54"/>
      <c r="I137" s="54"/>
    </row>
    <row r="138" ht="14.25" customHeight="1">
      <c r="D138" s="54"/>
      <c r="E138" s="54"/>
      <c r="F138" s="54"/>
      <c r="G138" s="54"/>
      <c r="H138" s="54"/>
      <c r="I138" s="54"/>
    </row>
    <row r="139" ht="14.25" customHeight="1">
      <c r="D139" s="54"/>
      <c r="E139" s="54"/>
      <c r="F139" s="54"/>
      <c r="G139" s="54"/>
      <c r="H139" s="54"/>
      <c r="I139" s="54"/>
    </row>
    <row r="140" ht="14.25" customHeight="1">
      <c r="D140" s="54"/>
      <c r="E140" s="54"/>
      <c r="F140" s="54"/>
      <c r="G140" s="54"/>
      <c r="H140" s="54"/>
      <c r="I140" s="54"/>
    </row>
    <row r="141" ht="14.25" customHeight="1">
      <c r="D141" s="54"/>
      <c r="E141" s="54"/>
      <c r="F141" s="54"/>
      <c r="G141" s="54"/>
      <c r="H141" s="54"/>
      <c r="I141" s="54"/>
    </row>
    <row r="142" ht="14.25" customHeight="1">
      <c r="D142" s="54"/>
      <c r="E142" s="54"/>
      <c r="F142" s="54"/>
      <c r="G142" s="54"/>
      <c r="H142" s="54"/>
      <c r="I142" s="54"/>
    </row>
    <row r="143" ht="14.25" customHeight="1">
      <c r="D143" s="54"/>
      <c r="E143" s="54"/>
      <c r="F143" s="54"/>
      <c r="G143" s="54"/>
      <c r="H143" s="54"/>
      <c r="I143" s="54"/>
    </row>
    <row r="144" ht="14.25" customHeight="1">
      <c r="D144" s="54"/>
      <c r="E144" s="54"/>
      <c r="F144" s="54"/>
      <c r="G144" s="54"/>
      <c r="H144" s="54"/>
      <c r="I144" s="54"/>
    </row>
    <row r="145" ht="14.25" customHeight="1">
      <c r="D145" s="54"/>
      <c r="E145" s="54"/>
      <c r="F145" s="54"/>
      <c r="G145" s="54"/>
      <c r="H145" s="54"/>
      <c r="I145" s="54"/>
    </row>
    <row r="146" ht="14.25" customHeight="1">
      <c r="D146" s="54"/>
      <c r="E146" s="54"/>
      <c r="F146" s="54"/>
      <c r="G146" s="54"/>
      <c r="H146" s="54"/>
      <c r="I146" s="54"/>
    </row>
    <row r="147" ht="14.25" customHeight="1">
      <c r="D147" s="54"/>
      <c r="E147" s="54"/>
      <c r="F147" s="54"/>
      <c r="G147" s="54"/>
      <c r="H147" s="54"/>
      <c r="I147" s="54"/>
    </row>
    <row r="148" ht="14.25" customHeight="1">
      <c r="D148" s="54"/>
      <c r="E148" s="54"/>
      <c r="F148" s="54"/>
      <c r="G148" s="54"/>
      <c r="H148" s="54"/>
      <c r="I148" s="54"/>
    </row>
    <row r="149" ht="14.25" customHeight="1">
      <c r="D149" s="54"/>
      <c r="E149" s="54"/>
      <c r="F149" s="54"/>
      <c r="G149" s="54"/>
      <c r="H149" s="54"/>
      <c r="I149" s="54"/>
    </row>
    <row r="150" ht="14.25" customHeight="1">
      <c r="D150" s="54"/>
      <c r="E150" s="54"/>
      <c r="F150" s="54"/>
      <c r="G150" s="54"/>
      <c r="H150" s="54"/>
      <c r="I150" s="54"/>
    </row>
    <row r="151" ht="14.25" customHeight="1">
      <c r="D151" s="54"/>
      <c r="E151" s="54"/>
      <c r="F151" s="54"/>
      <c r="G151" s="54"/>
      <c r="H151" s="54"/>
      <c r="I151" s="54"/>
    </row>
    <row r="152" ht="14.25" customHeight="1">
      <c r="D152" s="54"/>
      <c r="E152" s="54"/>
      <c r="F152" s="54"/>
      <c r="G152" s="54"/>
      <c r="H152" s="54"/>
      <c r="I152" s="54"/>
    </row>
    <row r="153" ht="14.25" customHeight="1">
      <c r="D153" s="54"/>
      <c r="E153" s="54"/>
      <c r="F153" s="54"/>
      <c r="G153" s="54"/>
      <c r="H153" s="54"/>
      <c r="I153" s="54"/>
    </row>
    <row r="154" ht="14.25" customHeight="1">
      <c r="D154" s="54"/>
      <c r="E154" s="54"/>
      <c r="F154" s="54"/>
      <c r="G154" s="54"/>
      <c r="H154" s="54"/>
      <c r="I154" s="54"/>
    </row>
    <row r="155" ht="14.25" customHeight="1">
      <c r="D155" s="54"/>
      <c r="E155" s="54"/>
      <c r="F155" s="54"/>
      <c r="G155" s="54"/>
      <c r="H155" s="54"/>
      <c r="I155" s="54"/>
    </row>
    <row r="156" ht="14.25" customHeight="1">
      <c r="D156" s="54"/>
      <c r="E156" s="54"/>
      <c r="F156" s="54"/>
      <c r="G156" s="54"/>
      <c r="H156" s="54"/>
      <c r="I156" s="54"/>
    </row>
    <row r="157" ht="14.25" customHeight="1">
      <c r="D157" s="54"/>
      <c r="E157" s="54"/>
      <c r="F157" s="54"/>
      <c r="G157" s="54"/>
      <c r="H157" s="54"/>
      <c r="I157" s="54"/>
    </row>
    <row r="158" ht="14.25" customHeight="1">
      <c r="D158" s="54"/>
      <c r="E158" s="54"/>
      <c r="F158" s="54"/>
      <c r="G158" s="54"/>
      <c r="H158" s="54"/>
      <c r="I158" s="54"/>
    </row>
    <row r="159" ht="14.25" customHeight="1">
      <c r="D159" s="54"/>
      <c r="E159" s="54"/>
      <c r="F159" s="54"/>
      <c r="G159" s="54"/>
      <c r="H159" s="54"/>
      <c r="I159" s="54"/>
    </row>
    <row r="160" ht="14.25" customHeight="1">
      <c r="D160" s="54"/>
      <c r="E160" s="54"/>
      <c r="F160" s="54"/>
      <c r="G160" s="54"/>
      <c r="H160" s="54"/>
      <c r="I160" s="54"/>
    </row>
    <row r="161" ht="14.25" customHeight="1">
      <c r="D161" s="54"/>
      <c r="E161" s="54"/>
      <c r="F161" s="54"/>
      <c r="G161" s="54"/>
      <c r="H161" s="54"/>
      <c r="I161" s="54"/>
    </row>
    <row r="162" ht="14.25" customHeight="1">
      <c r="D162" s="54"/>
      <c r="E162" s="54"/>
      <c r="F162" s="54"/>
      <c r="G162" s="54"/>
      <c r="H162" s="54"/>
      <c r="I162" s="54"/>
    </row>
    <row r="163" ht="14.25" customHeight="1">
      <c r="D163" s="54"/>
      <c r="E163" s="54"/>
      <c r="F163" s="54"/>
      <c r="G163" s="54"/>
      <c r="H163" s="54"/>
      <c r="I163" s="54"/>
    </row>
    <row r="164" ht="14.25" customHeight="1">
      <c r="D164" s="54"/>
      <c r="E164" s="54"/>
      <c r="F164" s="54"/>
      <c r="G164" s="54"/>
      <c r="H164" s="54"/>
      <c r="I164" s="54"/>
    </row>
    <row r="165" ht="14.25" customHeight="1">
      <c r="D165" s="54"/>
      <c r="E165" s="54"/>
      <c r="F165" s="54"/>
      <c r="G165" s="54"/>
      <c r="H165" s="54"/>
      <c r="I165" s="54"/>
    </row>
    <row r="166" ht="14.25" customHeight="1">
      <c r="D166" s="54"/>
      <c r="E166" s="54"/>
      <c r="F166" s="54"/>
      <c r="G166" s="54"/>
      <c r="H166" s="54"/>
      <c r="I166" s="54"/>
    </row>
    <row r="167" ht="14.25" customHeight="1">
      <c r="D167" s="54"/>
      <c r="E167" s="54"/>
      <c r="F167" s="54"/>
      <c r="G167" s="54"/>
      <c r="H167" s="54"/>
      <c r="I167" s="54"/>
    </row>
    <row r="168" ht="14.25" customHeight="1">
      <c r="D168" s="54"/>
      <c r="E168" s="54"/>
      <c r="F168" s="54"/>
      <c r="G168" s="54"/>
      <c r="H168" s="54"/>
      <c r="I168" s="54"/>
    </row>
    <row r="169" ht="14.25" customHeight="1">
      <c r="D169" s="54"/>
      <c r="E169" s="54"/>
      <c r="F169" s="54"/>
      <c r="G169" s="54"/>
      <c r="H169" s="54"/>
      <c r="I169" s="54"/>
    </row>
    <row r="170" ht="14.25" customHeight="1">
      <c r="D170" s="54"/>
      <c r="E170" s="54"/>
      <c r="F170" s="54"/>
      <c r="G170" s="54"/>
      <c r="H170" s="54"/>
      <c r="I170" s="54"/>
    </row>
    <row r="171" ht="14.25" customHeight="1">
      <c r="D171" s="54"/>
      <c r="E171" s="54"/>
      <c r="F171" s="54"/>
      <c r="G171" s="54"/>
      <c r="H171" s="54"/>
      <c r="I171" s="54"/>
    </row>
    <row r="172" ht="14.25" customHeight="1">
      <c r="D172" s="54"/>
      <c r="E172" s="54"/>
      <c r="F172" s="54"/>
      <c r="G172" s="54"/>
      <c r="H172" s="54"/>
      <c r="I172" s="54"/>
    </row>
    <row r="173" ht="14.25" customHeight="1">
      <c r="D173" s="54"/>
      <c r="E173" s="54"/>
      <c r="F173" s="54"/>
      <c r="G173" s="54"/>
      <c r="H173" s="54"/>
      <c r="I173" s="54"/>
    </row>
    <row r="174" ht="14.25" customHeight="1">
      <c r="D174" s="54"/>
      <c r="E174" s="54"/>
      <c r="F174" s="54"/>
      <c r="G174" s="54"/>
      <c r="H174" s="54"/>
      <c r="I174" s="54"/>
    </row>
    <row r="175" ht="14.25" customHeight="1">
      <c r="D175" s="54"/>
      <c r="E175" s="54"/>
      <c r="F175" s="54"/>
      <c r="G175" s="54"/>
      <c r="H175" s="54"/>
      <c r="I175" s="54"/>
    </row>
    <row r="176" ht="14.25" customHeight="1">
      <c r="D176" s="54"/>
      <c r="E176" s="54"/>
      <c r="F176" s="54"/>
      <c r="G176" s="54"/>
      <c r="H176" s="54"/>
      <c r="I176" s="54"/>
    </row>
    <row r="177" ht="14.25" customHeight="1">
      <c r="D177" s="54"/>
      <c r="E177" s="54"/>
      <c r="F177" s="54"/>
      <c r="G177" s="54"/>
      <c r="H177" s="54"/>
      <c r="I177" s="54"/>
    </row>
    <row r="178" ht="14.25" customHeight="1">
      <c r="D178" s="54"/>
      <c r="E178" s="54"/>
      <c r="F178" s="54"/>
      <c r="G178" s="54"/>
      <c r="H178" s="54"/>
      <c r="I178" s="54"/>
    </row>
    <row r="179" ht="14.25" customHeight="1">
      <c r="D179" s="54"/>
      <c r="E179" s="54"/>
      <c r="F179" s="54"/>
      <c r="G179" s="54"/>
      <c r="H179" s="54"/>
      <c r="I179" s="54"/>
    </row>
    <row r="180" ht="14.25" customHeight="1">
      <c r="D180" s="54"/>
      <c r="E180" s="54"/>
      <c r="F180" s="54"/>
      <c r="G180" s="54"/>
      <c r="H180" s="54"/>
      <c r="I180" s="54"/>
    </row>
    <row r="181" ht="14.25" customHeight="1">
      <c r="D181" s="54"/>
      <c r="E181" s="54"/>
      <c r="F181" s="54"/>
      <c r="G181" s="54"/>
      <c r="H181" s="54"/>
      <c r="I181" s="54"/>
    </row>
    <row r="182" ht="14.25" customHeight="1">
      <c r="D182" s="54"/>
      <c r="E182" s="54"/>
      <c r="F182" s="54"/>
      <c r="G182" s="54"/>
      <c r="H182" s="54"/>
      <c r="I182" s="54"/>
    </row>
    <row r="183" ht="14.25" customHeight="1">
      <c r="D183" s="54"/>
      <c r="E183" s="54"/>
      <c r="F183" s="54"/>
      <c r="G183" s="54"/>
      <c r="H183" s="54"/>
      <c r="I183" s="54"/>
    </row>
    <row r="184" ht="14.25" customHeight="1">
      <c r="D184" s="54"/>
      <c r="E184" s="54"/>
      <c r="F184" s="54"/>
      <c r="G184" s="54"/>
      <c r="H184" s="54"/>
      <c r="I184" s="54"/>
    </row>
    <row r="185" ht="14.25" customHeight="1">
      <c r="D185" s="54"/>
      <c r="E185" s="54"/>
      <c r="F185" s="54"/>
      <c r="G185" s="54"/>
      <c r="H185" s="54"/>
      <c r="I185" s="54"/>
    </row>
    <row r="186" ht="14.25" customHeight="1">
      <c r="D186" s="54"/>
      <c r="E186" s="54"/>
      <c r="F186" s="54"/>
      <c r="G186" s="54"/>
      <c r="H186" s="54"/>
      <c r="I186" s="54"/>
    </row>
    <row r="187" ht="14.25" customHeight="1">
      <c r="D187" s="54"/>
      <c r="E187" s="54"/>
      <c r="F187" s="54"/>
      <c r="G187" s="54"/>
      <c r="H187" s="54"/>
      <c r="I187" s="54"/>
    </row>
    <row r="188" ht="14.25" customHeight="1">
      <c r="D188" s="54"/>
      <c r="E188" s="54"/>
      <c r="F188" s="54"/>
      <c r="G188" s="54"/>
      <c r="H188" s="54"/>
      <c r="I188" s="54"/>
    </row>
    <row r="189" ht="14.25" customHeight="1">
      <c r="D189" s="54"/>
      <c r="E189" s="54"/>
      <c r="F189" s="54"/>
      <c r="G189" s="54"/>
      <c r="H189" s="54"/>
      <c r="I189" s="54"/>
    </row>
    <row r="190" ht="14.25" customHeight="1">
      <c r="D190" s="54"/>
      <c r="E190" s="54"/>
      <c r="F190" s="54"/>
      <c r="G190" s="54"/>
      <c r="H190" s="54"/>
      <c r="I190" s="54"/>
    </row>
    <row r="191" ht="14.25" customHeight="1">
      <c r="D191" s="54"/>
      <c r="E191" s="54"/>
      <c r="F191" s="54"/>
      <c r="G191" s="54"/>
      <c r="H191" s="54"/>
      <c r="I191" s="54"/>
    </row>
    <row r="192" ht="14.25" customHeight="1">
      <c r="D192" s="54"/>
      <c r="E192" s="54"/>
      <c r="F192" s="54"/>
      <c r="G192" s="54"/>
      <c r="H192" s="54"/>
      <c r="I192" s="54"/>
    </row>
    <row r="193" ht="14.25" customHeight="1">
      <c r="D193" s="54"/>
      <c r="E193" s="54"/>
      <c r="F193" s="54"/>
      <c r="G193" s="54"/>
      <c r="H193" s="54"/>
      <c r="I193" s="54"/>
    </row>
    <row r="194" ht="14.25" customHeight="1">
      <c r="D194" s="54"/>
      <c r="E194" s="54"/>
      <c r="F194" s="54"/>
      <c r="G194" s="54"/>
      <c r="H194" s="54"/>
      <c r="I194" s="54"/>
    </row>
    <row r="195" ht="14.25" customHeight="1">
      <c r="D195" s="54"/>
      <c r="E195" s="54"/>
      <c r="F195" s="54"/>
      <c r="G195" s="54"/>
      <c r="H195" s="54"/>
      <c r="I195" s="54"/>
    </row>
    <row r="196" ht="14.25" customHeight="1">
      <c r="D196" s="54"/>
      <c r="E196" s="54"/>
      <c r="F196" s="54"/>
      <c r="G196" s="54"/>
      <c r="H196" s="54"/>
      <c r="I196" s="54"/>
    </row>
    <row r="197" ht="14.25" customHeight="1">
      <c r="D197" s="54"/>
      <c r="E197" s="54"/>
      <c r="F197" s="54"/>
      <c r="G197" s="54"/>
      <c r="H197" s="54"/>
      <c r="I197" s="54"/>
    </row>
    <row r="198" ht="14.25" customHeight="1">
      <c r="D198" s="54"/>
      <c r="E198" s="54"/>
      <c r="F198" s="54"/>
      <c r="G198" s="54"/>
      <c r="H198" s="54"/>
      <c r="I198" s="54"/>
    </row>
    <row r="199" ht="14.25" customHeight="1">
      <c r="D199" s="54"/>
      <c r="E199" s="54"/>
      <c r="F199" s="54"/>
      <c r="G199" s="54"/>
      <c r="H199" s="54"/>
      <c r="I199" s="54"/>
    </row>
    <row r="200" ht="14.25" customHeight="1">
      <c r="D200" s="54"/>
      <c r="E200" s="54"/>
      <c r="F200" s="54"/>
      <c r="G200" s="54"/>
      <c r="H200" s="54"/>
      <c r="I200" s="54"/>
    </row>
    <row r="201" ht="14.25" customHeight="1">
      <c r="D201" s="54"/>
      <c r="E201" s="54"/>
      <c r="F201" s="54"/>
      <c r="G201" s="54"/>
      <c r="H201" s="54"/>
      <c r="I201" s="54"/>
    </row>
    <row r="202" ht="14.25" customHeight="1">
      <c r="D202" s="54"/>
      <c r="E202" s="54"/>
      <c r="F202" s="54"/>
      <c r="G202" s="54"/>
      <c r="H202" s="54"/>
      <c r="I202" s="54"/>
    </row>
    <row r="203" ht="14.25" customHeight="1">
      <c r="D203" s="54"/>
      <c r="E203" s="54"/>
      <c r="F203" s="54"/>
      <c r="G203" s="54"/>
      <c r="H203" s="54"/>
      <c r="I203" s="54"/>
    </row>
    <row r="204" ht="14.25" customHeight="1">
      <c r="D204" s="54"/>
      <c r="E204" s="54"/>
      <c r="F204" s="54"/>
      <c r="G204" s="54"/>
      <c r="H204" s="54"/>
      <c r="I204" s="54"/>
    </row>
    <row r="205" ht="14.25" customHeight="1">
      <c r="D205" s="54"/>
      <c r="E205" s="54"/>
      <c r="F205" s="54"/>
      <c r="G205" s="54"/>
      <c r="H205" s="54"/>
      <c r="I205" s="54"/>
    </row>
    <row r="206" ht="14.25" customHeight="1">
      <c r="D206" s="54"/>
      <c r="E206" s="54"/>
      <c r="F206" s="54"/>
      <c r="G206" s="54"/>
      <c r="H206" s="54"/>
      <c r="I206" s="54"/>
    </row>
    <row r="207" ht="14.25" customHeight="1">
      <c r="D207" s="54"/>
      <c r="E207" s="54"/>
      <c r="F207" s="54"/>
      <c r="G207" s="54"/>
      <c r="H207" s="54"/>
      <c r="I207" s="54"/>
    </row>
    <row r="208" ht="14.25" customHeight="1">
      <c r="D208" s="54"/>
      <c r="E208" s="54"/>
      <c r="F208" s="54"/>
      <c r="G208" s="54"/>
      <c r="H208" s="54"/>
      <c r="I208" s="54"/>
    </row>
    <row r="209" ht="14.25" customHeight="1">
      <c r="D209" s="54"/>
      <c r="E209" s="54"/>
      <c r="F209" s="54"/>
      <c r="G209" s="54"/>
      <c r="H209" s="54"/>
      <c r="I209" s="54"/>
    </row>
    <row r="210" ht="14.25" customHeight="1">
      <c r="D210" s="54"/>
      <c r="E210" s="54"/>
      <c r="F210" s="54"/>
      <c r="G210" s="54"/>
      <c r="H210" s="54"/>
      <c r="I210" s="54"/>
    </row>
    <row r="211" ht="14.25" customHeight="1">
      <c r="D211" s="54"/>
      <c r="E211" s="54"/>
      <c r="F211" s="54"/>
      <c r="G211" s="54"/>
      <c r="H211" s="54"/>
      <c r="I211" s="54"/>
    </row>
    <row r="212" ht="14.25" customHeight="1">
      <c r="D212" s="54"/>
      <c r="E212" s="54"/>
      <c r="F212" s="54"/>
      <c r="G212" s="54"/>
      <c r="H212" s="54"/>
      <c r="I212" s="54"/>
    </row>
    <row r="213" ht="14.25" customHeight="1">
      <c r="D213" s="54"/>
      <c r="E213" s="54"/>
      <c r="F213" s="54"/>
      <c r="G213" s="54"/>
      <c r="H213" s="54"/>
      <c r="I213" s="54"/>
    </row>
    <row r="214" ht="14.25" customHeight="1">
      <c r="D214" s="54"/>
      <c r="E214" s="54"/>
      <c r="F214" s="54"/>
      <c r="G214" s="54"/>
      <c r="H214" s="54"/>
      <c r="I214" s="54"/>
    </row>
    <row r="215" ht="14.25" customHeight="1">
      <c r="D215" s="54"/>
      <c r="E215" s="54"/>
      <c r="F215" s="54"/>
      <c r="G215" s="54"/>
      <c r="H215" s="54"/>
      <c r="I215" s="54"/>
    </row>
    <row r="216" ht="14.25" customHeight="1">
      <c r="D216" s="54"/>
      <c r="E216" s="54"/>
      <c r="F216" s="54"/>
      <c r="G216" s="54"/>
      <c r="H216" s="54"/>
      <c r="I216" s="54"/>
    </row>
    <row r="217" ht="14.25" customHeight="1">
      <c r="D217" s="54"/>
      <c r="E217" s="54"/>
      <c r="F217" s="54"/>
      <c r="G217" s="54"/>
      <c r="H217" s="54"/>
      <c r="I217" s="54"/>
    </row>
    <row r="218" ht="14.25" customHeight="1">
      <c r="D218" s="54"/>
      <c r="E218" s="54"/>
      <c r="F218" s="54"/>
      <c r="G218" s="54"/>
      <c r="H218" s="54"/>
      <c r="I218" s="54"/>
    </row>
    <row r="219" ht="14.25" customHeight="1">
      <c r="D219" s="54"/>
      <c r="E219" s="54"/>
      <c r="F219" s="54"/>
      <c r="G219" s="54"/>
      <c r="H219" s="54"/>
      <c r="I219" s="54"/>
    </row>
    <row r="220" ht="14.25" customHeight="1">
      <c r="D220" s="54"/>
      <c r="E220" s="54"/>
      <c r="F220" s="54"/>
      <c r="G220" s="54"/>
      <c r="H220" s="54"/>
      <c r="I220" s="54"/>
    </row>
    <row r="221" ht="14.25" customHeight="1">
      <c r="D221" s="54"/>
      <c r="E221" s="54"/>
      <c r="F221" s="54"/>
      <c r="G221" s="54"/>
      <c r="H221" s="54"/>
      <c r="I221" s="54"/>
    </row>
    <row r="222" ht="14.25" customHeight="1">
      <c r="D222" s="54"/>
      <c r="E222" s="54"/>
      <c r="F222" s="54"/>
      <c r="G222" s="54"/>
      <c r="H222" s="54"/>
      <c r="I222" s="54"/>
    </row>
    <row r="223" ht="14.25" customHeight="1">
      <c r="D223" s="54"/>
      <c r="E223" s="54"/>
      <c r="F223" s="54"/>
      <c r="G223" s="54"/>
      <c r="H223" s="54"/>
      <c r="I223" s="54"/>
    </row>
    <row r="224" ht="14.25" customHeight="1">
      <c r="D224" s="54"/>
      <c r="E224" s="54"/>
      <c r="F224" s="54"/>
      <c r="G224" s="54"/>
      <c r="H224" s="54"/>
      <c r="I224" s="54"/>
    </row>
    <row r="225" ht="14.25" customHeight="1">
      <c r="D225" s="54"/>
      <c r="E225" s="54"/>
      <c r="F225" s="54"/>
      <c r="G225" s="54"/>
      <c r="H225" s="54"/>
      <c r="I225" s="54"/>
    </row>
    <row r="226" ht="14.25" customHeight="1">
      <c r="D226" s="54"/>
      <c r="E226" s="54"/>
      <c r="F226" s="54"/>
      <c r="G226" s="54"/>
      <c r="H226" s="54"/>
      <c r="I226" s="54"/>
    </row>
    <row r="227" ht="14.25" customHeight="1">
      <c r="D227" s="54"/>
      <c r="E227" s="54"/>
      <c r="F227" s="54"/>
      <c r="G227" s="54"/>
      <c r="H227" s="54"/>
      <c r="I227" s="54"/>
    </row>
    <row r="228" ht="14.25" customHeight="1">
      <c r="D228" s="54"/>
      <c r="E228" s="54"/>
      <c r="F228" s="54"/>
      <c r="G228" s="54"/>
      <c r="H228" s="54"/>
      <c r="I228" s="54"/>
    </row>
    <row r="229" ht="14.25" customHeight="1">
      <c r="D229" s="54"/>
      <c r="E229" s="54"/>
      <c r="F229" s="54"/>
      <c r="G229" s="54"/>
      <c r="H229" s="54"/>
      <c r="I229" s="54"/>
    </row>
    <row r="230" ht="14.25" customHeight="1">
      <c r="D230" s="54"/>
      <c r="E230" s="54"/>
      <c r="F230" s="54"/>
      <c r="G230" s="54"/>
      <c r="H230" s="54"/>
      <c r="I230" s="54"/>
    </row>
    <row r="231" ht="14.25" customHeight="1">
      <c r="D231" s="54"/>
      <c r="E231" s="54"/>
      <c r="F231" s="54"/>
      <c r="G231" s="54"/>
      <c r="H231" s="54"/>
      <c r="I231" s="54"/>
    </row>
    <row r="232" ht="14.25" customHeight="1">
      <c r="D232" s="54"/>
      <c r="E232" s="54"/>
      <c r="F232" s="54"/>
      <c r="G232" s="54"/>
      <c r="H232" s="54"/>
      <c r="I232" s="54"/>
    </row>
    <row r="233" ht="14.25" customHeight="1">
      <c r="D233" s="54"/>
      <c r="E233" s="54"/>
      <c r="F233" s="54"/>
      <c r="G233" s="54"/>
      <c r="H233" s="54"/>
      <c r="I233" s="54"/>
    </row>
    <row r="234" ht="14.25" customHeight="1">
      <c r="D234" s="54"/>
      <c r="E234" s="54"/>
      <c r="F234" s="54"/>
      <c r="G234" s="54"/>
      <c r="H234" s="54"/>
      <c r="I234" s="54"/>
    </row>
    <row r="235" ht="14.25" customHeight="1">
      <c r="D235" s="54"/>
      <c r="E235" s="54"/>
      <c r="F235" s="54"/>
      <c r="G235" s="54"/>
      <c r="H235" s="54"/>
      <c r="I235" s="54"/>
    </row>
    <row r="236" ht="14.25" customHeight="1">
      <c r="D236" s="54"/>
      <c r="E236" s="54"/>
      <c r="F236" s="54"/>
      <c r="G236" s="54"/>
      <c r="H236" s="54"/>
      <c r="I236" s="54"/>
    </row>
    <row r="237" ht="14.25" customHeight="1">
      <c r="D237" s="54"/>
      <c r="E237" s="54"/>
      <c r="F237" s="54"/>
      <c r="G237" s="54"/>
      <c r="H237" s="54"/>
      <c r="I237" s="54"/>
    </row>
    <row r="238" ht="14.25" customHeight="1">
      <c r="D238" s="54"/>
      <c r="E238" s="54"/>
      <c r="F238" s="54"/>
      <c r="G238" s="54"/>
      <c r="H238" s="54"/>
      <c r="I238" s="54"/>
    </row>
    <row r="239" ht="14.25" customHeight="1">
      <c r="D239" s="54"/>
      <c r="E239" s="54"/>
      <c r="F239" s="54"/>
      <c r="G239" s="54"/>
      <c r="H239" s="54"/>
      <c r="I239" s="54"/>
    </row>
    <row r="240" ht="14.25" customHeight="1">
      <c r="D240" s="54"/>
      <c r="E240" s="54"/>
      <c r="F240" s="54"/>
      <c r="G240" s="54"/>
      <c r="H240" s="54"/>
      <c r="I240" s="54"/>
    </row>
    <row r="241" ht="14.25" customHeight="1">
      <c r="D241" s="54"/>
      <c r="E241" s="54"/>
      <c r="F241" s="54"/>
      <c r="G241" s="54"/>
      <c r="H241" s="54"/>
      <c r="I241" s="54"/>
    </row>
    <row r="242" ht="14.25" customHeight="1">
      <c r="D242" s="54"/>
      <c r="E242" s="54"/>
      <c r="F242" s="54"/>
      <c r="G242" s="54"/>
      <c r="H242" s="54"/>
      <c r="I242" s="54"/>
    </row>
    <row r="243" ht="14.25" customHeight="1">
      <c r="D243" s="54"/>
      <c r="E243" s="54"/>
      <c r="F243" s="54"/>
      <c r="G243" s="54"/>
      <c r="H243" s="54"/>
      <c r="I243" s="54"/>
    </row>
    <row r="244" ht="14.25" customHeight="1">
      <c r="D244" s="54"/>
      <c r="E244" s="54"/>
      <c r="F244" s="54"/>
      <c r="G244" s="54"/>
      <c r="H244" s="54"/>
      <c r="I244" s="54"/>
    </row>
    <row r="245" ht="14.25" customHeight="1">
      <c r="D245" s="54"/>
      <c r="E245" s="54"/>
      <c r="F245" s="54"/>
      <c r="G245" s="54"/>
      <c r="H245" s="54"/>
      <c r="I245" s="54"/>
    </row>
    <row r="246" ht="14.25" customHeight="1">
      <c r="D246" s="54"/>
      <c r="E246" s="54"/>
      <c r="F246" s="54"/>
      <c r="G246" s="54"/>
      <c r="H246" s="54"/>
      <c r="I246" s="54"/>
    </row>
    <row r="247" ht="14.25" customHeight="1">
      <c r="D247" s="54"/>
      <c r="E247" s="54"/>
      <c r="F247" s="54"/>
      <c r="G247" s="54"/>
      <c r="H247" s="54"/>
      <c r="I247" s="54"/>
    </row>
    <row r="248" ht="14.25" customHeight="1">
      <c r="D248" s="54"/>
      <c r="E248" s="54"/>
      <c r="F248" s="54"/>
      <c r="G248" s="54"/>
      <c r="H248" s="54"/>
      <c r="I248" s="54"/>
    </row>
    <row r="249" ht="14.25" customHeight="1">
      <c r="D249" s="54"/>
      <c r="E249" s="54"/>
      <c r="F249" s="54"/>
      <c r="G249" s="54"/>
      <c r="H249" s="54"/>
      <c r="I249" s="54"/>
    </row>
    <row r="250" ht="14.25" customHeight="1">
      <c r="D250" s="54"/>
      <c r="E250" s="54"/>
      <c r="F250" s="54"/>
      <c r="G250" s="54"/>
      <c r="H250" s="54"/>
      <c r="I250" s="54"/>
    </row>
    <row r="251" ht="14.25" customHeight="1">
      <c r="D251" s="54"/>
      <c r="E251" s="54"/>
      <c r="F251" s="54"/>
      <c r="G251" s="54"/>
      <c r="H251" s="54"/>
      <c r="I251" s="54"/>
    </row>
    <row r="252" ht="14.25" customHeight="1">
      <c r="D252" s="54"/>
      <c r="E252" s="54"/>
      <c r="F252" s="54"/>
      <c r="G252" s="54"/>
      <c r="H252" s="54"/>
      <c r="I252" s="54"/>
    </row>
    <row r="253" ht="14.25" customHeight="1">
      <c r="D253" s="54"/>
      <c r="E253" s="54"/>
      <c r="F253" s="54"/>
      <c r="G253" s="54"/>
      <c r="H253" s="54"/>
      <c r="I253" s="54"/>
    </row>
    <row r="254" ht="14.25" customHeight="1">
      <c r="D254" s="54"/>
      <c r="E254" s="54"/>
      <c r="F254" s="54"/>
      <c r="G254" s="54"/>
      <c r="H254" s="54"/>
      <c r="I254" s="54"/>
    </row>
    <row r="255" ht="14.25" customHeight="1">
      <c r="D255" s="54"/>
      <c r="E255" s="54"/>
      <c r="F255" s="54"/>
      <c r="G255" s="54"/>
      <c r="H255" s="54"/>
      <c r="I255" s="54"/>
    </row>
    <row r="256" ht="14.25" customHeight="1">
      <c r="D256" s="54"/>
      <c r="E256" s="54"/>
      <c r="F256" s="54"/>
      <c r="G256" s="54"/>
      <c r="H256" s="54"/>
      <c r="I256" s="54"/>
    </row>
    <row r="257" ht="14.25" customHeight="1">
      <c r="D257" s="54"/>
      <c r="E257" s="54"/>
      <c r="F257" s="54"/>
      <c r="G257" s="54"/>
      <c r="H257" s="54"/>
      <c r="I257" s="54"/>
    </row>
    <row r="258" ht="14.25" customHeight="1">
      <c r="D258" s="54"/>
      <c r="E258" s="54"/>
      <c r="F258" s="54"/>
      <c r="G258" s="54"/>
      <c r="H258" s="54"/>
      <c r="I258" s="54"/>
    </row>
    <row r="259" ht="14.25" customHeight="1">
      <c r="D259" s="54"/>
      <c r="E259" s="54"/>
      <c r="F259" s="54"/>
      <c r="G259" s="54"/>
      <c r="H259" s="54"/>
      <c r="I259" s="54"/>
    </row>
    <row r="260" ht="14.25" customHeight="1">
      <c r="D260" s="54"/>
      <c r="E260" s="54"/>
      <c r="F260" s="54"/>
      <c r="G260" s="54"/>
      <c r="H260" s="54"/>
      <c r="I260" s="54"/>
    </row>
    <row r="261" ht="14.25" customHeight="1">
      <c r="D261" s="54"/>
      <c r="E261" s="54"/>
      <c r="F261" s="54"/>
      <c r="G261" s="54"/>
      <c r="H261" s="54"/>
      <c r="I261" s="54"/>
    </row>
    <row r="262" ht="14.25" customHeight="1">
      <c r="D262" s="54"/>
      <c r="E262" s="54"/>
      <c r="F262" s="54"/>
      <c r="G262" s="54"/>
      <c r="H262" s="54"/>
      <c r="I262" s="54"/>
    </row>
    <row r="263" ht="14.25" customHeight="1">
      <c r="D263" s="54"/>
      <c r="E263" s="54"/>
      <c r="F263" s="54"/>
      <c r="G263" s="54"/>
      <c r="H263" s="54"/>
      <c r="I263" s="54"/>
    </row>
    <row r="264" ht="14.25" customHeight="1">
      <c r="D264" s="54"/>
      <c r="E264" s="54"/>
      <c r="F264" s="54"/>
      <c r="G264" s="54"/>
      <c r="H264" s="54"/>
      <c r="I264" s="54"/>
    </row>
    <row r="265" ht="14.25" customHeight="1">
      <c r="D265" s="54"/>
      <c r="E265" s="54"/>
      <c r="F265" s="54"/>
      <c r="G265" s="54"/>
      <c r="H265" s="54"/>
      <c r="I265" s="54"/>
    </row>
    <row r="266" ht="14.25" customHeight="1">
      <c r="D266" s="54"/>
      <c r="E266" s="54"/>
      <c r="F266" s="54"/>
      <c r="G266" s="54"/>
      <c r="H266" s="54"/>
      <c r="I266" s="54"/>
    </row>
    <row r="267" ht="14.25" customHeight="1">
      <c r="D267" s="54"/>
      <c r="E267" s="54"/>
      <c r="F267" s="54"/>
      <c r="G267" s="54"/>
      <c r="H267" s="54"/>
      <c r="I267" s="54"/>
    </row>
    <row r="268" ht="14.25" customHeight="1">
      <c r="D268" s="54"/>
      <c r="E268" s="54"/>
      <c r="F268" s="54"/>
      <c r="G268" s="54"/>
      <c r="H268" s="54"/>
      <c r="I268" s="54"/>
    </row>
    <row r="269" ht="14.25" customHeight="1">
      <c r="D269" s="54"/>
      <c r="E269" s="54"/>
      <c r="F269" s="54"/>
      <c r="G269" s="54"/>
      <c r="H269" s="54"/>
      <c r="I269" s="54"/>
    </row>
    <row r="270" ht="14.25" customHeight="1">
      <c r="D270" s="54"/>
      <c r="E270" s="54"/>
      <c r="F270" s="54"/>
      <c r="G270" s="54"/>
      <c r="H270" s="54"/>
      <c r="I270" s="54"/>
    </row>
    <row r="271" ht="14.25" customHeight="1">
      <c r="D271" s="54"/>
      <c r="E271" s="54"/>
      <c r="F271" s="54"/>
      <c r="G271" s="54"/>
      <c r="H271" s="54"/>
      <c r="I271" s="54"/>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2024-07-04T10:41:02Z</dcterms:created>
  <dc:creator>kavya haritsa</dc:creator>
</cp:coreProperties>
</file>